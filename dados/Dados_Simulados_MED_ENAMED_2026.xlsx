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Alunos" sheetId="2" state="visible" r:id="rId2"/>
    <sheet name="Questões" sheetId="3" state="visible" r:id="rId3"/>
    <sheet name="Questão x Fase" sheetId="4" state="visible" r:id="rId4"/>
    <sheet name="Distribuição respostas" sheetId="5" state="visible" r:id="rId5"/>
    <sheet name="Resumo por fase" sheetId="6" state="visible" r:id="rId6"/>
    <sheet name="Comparativo S01 x S02" sheetId="7" state="visible" r:id="rId7"/>
  </sheets>
  <definedNames>
    <definedName name="_xlnm._FilterDatabase" localSheetId="1" hidden="1">'Alunos'!$A$1:$H$239</definedName>
    <definedName name="_xlnm._FilterDatabase" localSheetId="2" hidden="1">'Questões'!$A$1:$P$101</definedName>
    <definedName name="_xlnm._FilterDatabase" localSheetId="3" hidden="1">'Questão x Fase'!$A$1:$H$401</definedName>
    <definedName name="_xlnm._FilterDatabase" localSheetId="4" hidden="1">'Distribuição respostas'!$A$1:$H$1769</definedName>
    <definedName name="_xlnm._FilterDatabase" localSheetId="5" hidden="1">'Resumo por fase'!$A$1:$K$9</definedName>
    <definedName name="_xlnm._FilterDatabase" localSheetId="6" hidden="1">'Comparativo S01 x S02'!$A$1:$H$127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+0.00;-0.00;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5F"/>
      <sz val="14"/>
    </font>
    <font>
      <name val="Arial"/>
      <b val="1"/>
      <sz val="10"/>
    </font>
    <font>
      <name val="Arial"/>
      <i val="1"/>
      <color rgb="007A5200"/>
      <sz val="10"/>
    </font>
  </fonts>
  <fills count="5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2F7F9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10" fontId="2" fillId="3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10" fontId="2" fillId="0" borderId="1" applyAlignment="1" pivotButton="0" quotePrefix="0" xfId="0">
      <alignment horizontal="center"/>
    </xf>
    <xf numFmtId="0" fontId="2" fillId="4" borderId="1" pivotButton="0" quotePrefix="0" xfId="0"/>
    <xf numFmtId="0" fontId="2" fillId="4" borderId="1" applyAlignment="1" pivotButton="0" quotePrefix="0" xfId="0">
      <alignment horizontal="center"/>
    </xf>
    <xf numFmtId="10" fontId="2" fillId="4" borderId="1" applyAlignment="1" pivotButton="0" quotePrefix="0" xfId="0">
      <alignment horizontal="center"/>
    </xf>
    <xf numFmtId="2" fontId="2" fillId="3" borderId="1" applyAlignment="1" pivotButton="0" quotePrefix="0" xfId="0">
      <alignment horizontal="center"/>
    </xf>
    <xf numFmtId="2" fontId="2" fillId="0" borderId="1" applyAlignment="1" pivotButton="0" quotePrefix="0" xfId="0">
      <alignment horizontal="center"/>
    </xf>
    <xf numFmtId="164" fontId="2" fillId="3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2" customWidth="1" min="2" max="2"/>
  </cols>
  <sheetData>
    <row r="1">
      <c r="A1" s="1" t="inlineStr">
        <is>
          <t>Simulados MED / ENAMED 2026 — dados remontados a partir dos dashboards</t>
        </is>
      </c>
    </row>
    <row r="2" ht="15" customHeight="1">
      <c r="A2" s="2" t="inlineStr"/>
      <c r="B2" s="3" t="inlineStr"/>
    </row>
    <row r="3" ht="39" customHeight="1">
      <c r="A3" s="4" t="inlineStr">
        <is>
          <t>O que é este arquivo</t>
        </is>
      </c>
      <c r="B3" s="3" t="inlineStr">
        <is>
          <t>Os dois dashboards originais não continham dados em células: todas as abas estavam vazias e os números apareciam apenas como IMAGENS coladas (prints de tabelas dinâmicas) e como cache de gráficos. Este arquivo remonta esse conteúdo em tabelas de dados utilizáveis.</t>
        </is>
      </c>
    </row>
    <row r="4" ht="39" customHeight="1">
      <c r="A4" s="4" t="inlineStr">
        <is>
          <t>Fontes</t>
        </is>
      </c>
      <c r="B4" s="3" t="inlineStr">
        <is>
          <t>Dashboard_Simulado_01__MED__ENAMED_2026.xlsx (16 imagens; 12 com dados) · Dashboard_Simulado_02__MED__ENAMED_2026.xlsx (20 imagens; 16 com dados) · Gabarito_Simulado_1_2026.pdf · Simulado_01_2026.pdf · Simulado_02_20261.pdf</t>
        </is>
      </c>
    </row>
    <row r="5" ht="52" customHeight="1">
      <c r="A5" s="4" t="inlineStr">
        <is>
          <t>Como foi extraído</t>
        </is>
      </c>
      <c r="B5" s="3" t="inlineStr">
        <is>
          <t>1) Nomes, acertos e %acertos dos alunos: lidos das imagens das abas '6ª/7ª/10ª/11ª Fase'. 2) % de acerto por questão: lidos das imagens das abas 'Base ...' e conferidos contra o cache numérico dos gráficos das abas Q1..Qn, que traz os valores exatos. 3) Distribuição de respostas por alternativa (A–E): extraída do cache dos gráficos.</t>
        </is>
      </c>
    </row>
    <row r="6" ht="15" customHeight="1">
      <c r="A6" s="4" t="inlineStr">
        <is>
          <t>Conferência</t>
        </is>
      </c>
      <c r="B6" s="3" t="inlineStr"/>
    </row>
    <row r="7" ht="26" customHeight="1">
      <c r="A7" s="2" t="inlineStr">
        <is>
          <t xml:space="preserve">  Simulado 02</t>
        </is>
      </c>
      <c r="B7" s="3" t="inlineStr">
        <is>
          <t>Fecha exatamente: para cada uma das 4 fases, a soma dos acertos por questão é idêntica à soma dos acertos dos alunos (diferença = 0). Isso valida as 240 porcentagens e os 120 totais lidos nas imagens.</t>
        </is>
      </c>
    </row>
    <row r="8" ht="26" customHeight="1">
      <c r="A8" s="2" t="inlineStr">
        <is>
          <t xml:space="preserve">  Simulado 01</t>
        </is>
      </c>
      <c r="B8" s="3" t="inlineStr">
        <is>
          <t>Fecha exatamente do mesmo modo, nas 4 fases (diferença = 0), usando a chave que o próprio dashboard aplicou. 38 das 39 questões analisadas coincidem com o gabarito oficial; a 39ª é a ressalva 1.</t>
        </is>
      </c>
    </row>
    <row r="9" ht="91" customHeight="1">
      <c r="A9" s="4" t="inlineStr">
        <is>
          <t>Ressalva 1 — Questão 39</t>
        </is>
      </c>
      <c r="B9" s="5" t="inlineStr">
        <is>
          <t>O gabarito oficial (PDF) indica D, mas todo o dashboard (gráficos, % de acerto e notas dos alunos) foi calculado com E. Pelo enunciado, E é a alternativa correta (definição de SRAG do Ministério da Saúde: síndrome gripal com dispneia, pressão persistente no tórax, SatO2 ≤94% ou cianose); D descreve critérios de agravamento em idosos. Ou seja, o dashboard está certo e o PDF do gabarito tem erro de digitação nessa questão. Esta planilha reproduz o dashboard: a coluna Gabarito traz D (oficial), mas os acertos são os que o dashboard contabilizou, com E. Se a intenção fosse mesmo D, a Q39 cairia de 14/23/22/19 acertos para 0/5/3/3 e todas as notas mudariam — por isso a divergência precisa ser decidida antes de usar estes números.</t>
        </is>
      </c>
    </row>
    <row r="10" ht="52" customHeight="1">
      <c r="A10" s="4" t="inlineStr">
        <is>
          <t>Ressalva 2 — Questão 24</t>
        </is>
      </c>
      <c r="B10" s="5" t="inlineStr">
        <is>
          <t>A Questão 24 foi anulada no Simulado 01: não tem aba, nem gráfico, nem linha nas imagens, e o %Acertos dos alunos é calculado sobre 39 questões. Não sobrou nenhum dado dela: a soma dos acertos por questão bate exatamente com a soma dos acertos dos alunos sem a Q24. Ela aparece nas abas de questões apenas como linha marcada em amarelo, sem valores.</t>
        </is>
      </c>
    </row>
    <row r="11" ht="52" customHeight="1">
      <c r="A11" s="4" t="inlineStr">
        <is>
          <t>Ressalva 3 — Gabarito do S02</t>
        </is>
      </c>
      <c r="B11" s="5" t="inlineStr">
        <is>
          <t>O PDF do Simulado 02 vem com a folha de gabarito em branco. O gabarito das 60 questões foi deduzido cruzando o cache dos gráficos com as % das imagens: em todas as 60 questões uma única alternativa reproduz a % de acerto simultaneamente nas 4 fases, e o resultado fecha com a soma de acertos dos alunos. Gabarito deduzido: DBCCCDCBDADCBABBACCBACDCBADABBACADABAABCCDCBABBCADCCEEBDEDBC</t>
        </is>
      </c>
    </row>
    <row r="12" ht="26" customHeight="1">
      <c r="A12" s="4" t="inlineStr">
        <is>
          <t>Ressalva 4 — nomes</t>
        </is>
      </c>
      <c r="B12" s="5" t="inlineStr">
        <is>
          <t>Dois nomes apareciam truncados na imagem da 10ª Fase do Simulado 01 ('Lucas Eduardo dos Santos Vian…' e 'Maria Eduarda Medeiros Macha…'); foram completados pela lista do Simulado 02.</t>
        </is>
      </c>
    </row>
    <row r="13" ht="15" customHeight="1">
      <c r="A13" s="2" t="inlineStr"/>
      <c r="B13" s="3" t="inlineStr"/>
    </row>
    <row r="14" ht="15" customHeight="1">
      <c r="A14" s="4" t="inlineStr">
        <is>
          <t>Abas</t>
        </is>
      </c>
      <c r="B14" s="3" t="inlineStr"/>
    </row>
    <row r="15" ht="15" customHeight="1">
      <c r="A15" s="2" t="inlineStr">
        <is>
          <t xml:space="preserve">  Alunos</t>
        </is>
      </c>
      <c r="B15" s="3" t="inlineStr">
        <is>
          <t>Uma linha por aluno por simulado: fase, acertos, % e posição.</t>
        </is>
      </c>
    </row>
    <row r="16" ht="15" customHeight="1">
      <c r="A16" s="2" t="inlineStr">
        <is>
          <t xml:space="preserve">  Questões</t>
        </is>
      </c>
      <c r="B16" s="3" t="inlineStr">
        <is>
          <t>Uma linha por questão: gabarito e acertos/% por fase, % geral e dificuldade.</t>
        </is>
      </c>
    </row>
    <row r="17" ht="15" customHeight="1">
      <c r="A17" s="2" t="inlineStr">
        <is>
          <t xml:space="preserve">  Questão x Fase</t>
        </is>
      </c>
      <c r="B17" s="3" t="inlineStr">
        <is>
          <t>Mesma informação em formato longo, pronta para tabela dinâmica.</t>
        </is>
      </c>
    </row>
    <row r="18" ht="15" customHeight="1">
      <c r="A18" s="2" t="inlineStr">
        <is>
          <t xml:space="preserve">  Distribuição respostas</t>
        </is>
      </c>
      <c r="B18" s="3" t="inlineStr">
        <is>
          <t>Nº e % de alunos em cada alternativa A–E, por questão e por fase.</t>
        </is>
      </c>
    </row>
    <row r="19" ht="15" customHeight="1">
      <c r="A19" s="2" t="inlineStr">
        <is>
          <t xml:space="preserve">  Resumo por fase</t>
        </is>
      </c>
      <c r="B19" s="3" t="inlineStr">
        <is>
          <t>Estatísticas descritivas de cada fase em cada simulado.</t>
        </is>
      </c>
    </row>
    <row r="20" ht="15" customHeight="1">
      <c r="A20" s="2" t="inlineStr">
        <is>
          <t xml:space="preserve">  Comparativo S01 x S02</t>
        </is>
      </c>
      <c r="B20" s="3" t="inlineStr">
        <is>
          <t>Alunos presentes nos dois simulados e variação em pontos percentuais.</t>
        </is>
      </c>
    </row>
    <row r="21" ht="15" customHeight="1">
      <c r="A21" s="2" t="inlineStr"/>
      <c r="B21" s="3" t="inlineStr"/>
    </row>
    <row r="22" ht="15" customHeight="1">
      <c r="A22" s="4" t="inlineStr">
        <is>
          <t>Observação</t>
        </is>
      </c>
      <c r="B22" s="3" t="inlineStr">
        <is>
          <t>Percentuais são fórmulas sobre as contagens; ao alterar um número de acertos, o resto recalcula.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10" customWidth="1" min="4" max="4"/>
    <col width="12" customWidth="1" min="5" max="5"/>
    <col width="11" customWidth="1" min="6" max="6"/>
    <col width="13" customWidth="1" min="7" max="7"/>
    <col width="15" customWidth="1" min="8" max="8"/>
  </cols>
  <sheetData>
    <row r="1" ht="30" customHeight="1">
      <c r="A1" s="6" t="inlineStr">
        <is>
          <t>Simulado</t>
        </is>
      </c>
      <c r="B1" s="6" t="inlineStr">
        <is>
          <t>Fase</t>
        </is>
      </c>
      <c r="C1" s="6" t="inlineStr">
        <is>
          <t>Nome do acadêmico</t>
        </is>
      </c>
      <c r="D1" s="6" t="inlineStr">
        <is>
          <t>Acertos</t>
        </is>
      </c>
      <c r="E1" s="6" t="inlineStr">
        <is>
          <t>Base do %
(questões)</t>
        </is>
      </c>
      <c r="F1" s="6" t="inlineStr">
        <is>
          <t>% Acertos</t>
        </is>
      </c>
      <c r="G1" s="6" t="inlineStr">
        <is>
          <t>Posição na fase</t>
        </is>
      </c>
      <c r="H1" s="6" t="inlineStr">
        <is>
          <t>Posição no simulado</t>
        </is>
      </c>
    </row>
    <row r="2">
      <c r="A2" s="7" t="inlineStr">
        <is>
          <t>Simulado 01</t>
        </is>
      </c>
      <c r="B2" s="7" t="inlineStr">
        <is>
          <t>6ª Fase</t>
        </is>
      </c>
      <c r="C2" s="7" t="inlineStr">
        <is>
          <t>Amanda Figueiredo Meneghetti</t>
        </is>
      </c>
      <c r="D2" s="8" t="n">
        <v>23</v>
      </c>
      <c r="E2" s="8" t="n">
        <v>39</v>
      </c>
      <c r="F2" s="9">
        <f>IF(E2=0,"",D2/E2)</f>
        <v/>
      </c>
      <c r="G2" s="8">
        <f>SUMPRODUCT(($A$2:$A$239=A2)*($B$2:$B$239=B2)*($D$2:$D$239&gt;D2))+1</f>
        <v/>
      </c>
      <c r="H2" s="8">
        <f>SUMPRODUCT(($A$2:$A$239=A2)*($D$2:$D$239&gt;D2))+1</f>
        <v/>
      </c>
    </row>
    <row r="3">
      <c r="A3" s="10" t="inlineStr">
        <is>
          <t>Simulado 01</t>
        </is>
      </c>
      <c r="B3" s="10" t="inlineStr">
        <is>
          <t>6ª Fase</t>
        </is>
      </c>
      <c r="C3" s="10" t="inlineStr">
        <is>
          <t>Amanda de Matos da Silva</t>
        </is>
      </c>
      <c r="D3" s="11" t="n">
        <v>26</v>
      </c>
      <c r="E3" s="11" t="n">
        <v>39</v>
      </c>
      <c r="F3" s="12">
        <f>IF(E3=0,"",D3/E3)</f>
        <v/>
      </c>
      <c r="G3" s="11">
        <f>SUMPRODUCT(($A$2:$A$239=A3)*($B$2:$B$239=B3)*($D$2:$D$239&gt;D3))+1</f>
        <v/>
      </c>
      <c r="H3" s="11">
        <f>SUMPRODUCT(($A$2:$A$239=A3)*($D$2:$D$239&gt;D3))+1</f>
        <v/>
      </c>
    </row>
    <row r="4">
      <c r="A4" s="7" t="inlineStr">
        <is>
          <t>Simulado 01</t>
        </is>
      </c>
      <c r="B4" s="7" t="inlineStr">
        <is>
          <t>6ª Fase</t>
        </is>
      </c>
      <c r="C4" s="7" t="inlineStr">
        <is>
          <t>Bárbara Letícia Armiliato</t>
        </is>
      </c>
      <c r="D4" s="8" t="n">
        <v>22</v>
      </c>
      <c r="E4" s="8" t="n">
        <v>39</v>
      </c>
      <c r="F4" s="9">
        <f>IF(E4=0,"",D4/E4)</f>
        <v/>
      </c>
      <c r="G4" s="8">
        <f>SUMPRODUCT(($A$2:$A$239=A4)*($B$2:$B$239=B4)*($D$2:$D$239&gt;D4))+1</f>
        <v/>
      </c>
      <c r="H4" s="8">
        <f>SUMPRODUCT(($A$2:$A$239=A4)*($D$2:$D$239&gt;D4))+1</f>
        <v/>
      </c>
    </row>
    <row r="5">
      <c r="A5" s="10" t="inlineStr">
        <is>
          <t>Simulado 01</t>
        </is>
      </c>
      <c r="B5" s="10" t="inlineStr">
        <is>
          <t>6ª Fase</t>
        </is>
      </c>
      <c r="C5" s="10" t="inlineStr">
        <is>
          <t>Carla Bonacolsi</t>
        </is>
      </c>
      <c r="D5" s="11" t="n">
        <v>18</v>
      </c>
      <c r="E5" s="11" t="n">
        <v>39</v>
      </c>
      <c r="F5" s="12">
        <f>IF(E5=0,"",D5/E5)</f>
        <v/>
      </c>
      <c r="G5" s="11">
        <f>SUMPRODUCT(($A$2:$A$239=A5)*($B$2:$B$239=B5)*($D$2:$D$239&gt;D5))+1</f>
        <v/>
      </c>
      <c r="H5" s="11">
        <f>SUMPRODUCT(($A$2:$A$239=A5)*($D$2:$D$239&gt;D5))+1</f>
        <v/>
      </c>
    </row>
    <row r="6">
      <c r="A6" s="7" t="inlineStr">
        <is>
          <t>Simulado 01</t>
        </is>
      </c>
      <c r="B6" s="7" t="inlineStr">
        <is>
          <t>6ª Fase</t>
        </is>
      </c>
      <c r="C6" s="7" t="inlineStr">
        <is>
          <t>Cauã Eduardo Eibel</t>
        </is>
      </c>
      <c r="D6" s="8" t="n">
        <v>22</v>
      </c>
      <c r="E6" s="8" t="n">
        <v>39</v>
      </c>
      <c r="F6" s="9">
        <f>IF(E6=0,"",D6/E6)</f>
        <v/>
      </c>
      <c r="G6" s="8">
        <f>SUMPRODUCT(($A$2:$A$239=A6)*($B$2:$B$239=B6)*($D$2:$D$239&gt;D6))+1</f>
        <v/>
      </c>
      <c r="H6" s="8">
        <f>SUMPRODUCT(($A$2:$A$239=A6)*($D$2:$D$239&gt;D6))+1</f>
        <v/>
      </c>
    </row>
    <row r="7">
      <c r="A7" s="10" t="inlineStr">
        <is>
          <t>Simulado 01</t>
        </is>
      </c>
      <c r="B7" s="10" t="inlineStr">
        <is>
          <t>6ª Fase</t>
        </is>
      </c>
      <c r="C7" s="10" t="inlineStr">
        <is>
          <t>Eduardo Jacó Goedert</t>
        </is>
      </c>
      <c r="D7" s="11" t="n">
        <v>19</v>
      </c>
      <c r="E7" s="11" t="n">
        <v>39</v>
      </c>
      <c r="F7" s="12">
        <f>IF(E7=0,"",D7/E7)</f>
        <v/>
      </c>
      <c r="G7" s="11">
        <f>SUMPRODUCT(($A$2:$A$239=A7)*($B$2:$B$239=B7)*($D$2:$D$239&gt;D7))+1</f>
        <v/>
      </c>
      <c r="H7" s="11">
        <f>SUMPRODUCT(($A$2:$A$239=A7)*($D$2:$D$239&gt;D7))+1</f>
        <v/>
      </c>
    </row>
    <row r="8">
      <c r="A8" s="7" t="inlineStr">
        <is>
          <t>Simulado 01</t>
        </is>
      </c>
      <c r="B8" s="7" t="inlineStr">
        <is>
          <t>6ª Fase</t>
        </is>
      </c>
      <c r="C8" s="7" t="inlineStr">
        <is>
          <t>Giacomo João Mondini</t>
        </is>
      </c>
      <c r="D8" s="8" t="n">
        <v>23</v>
      </c>
      <c r="E8" s="8" t="n">
        <v>39</v>
      </c>
      <c r="F8" s="9">
        <f>IF(E8=0,"",D8/E8)</f>
        <v/>
      </c>
      <c r="G8" s="8">
        <f>SUMPRODUCT(($A$2:$A$239=A8)*($B$2:$B$239=B8)*($D$2:$D$239&gt;D8))+1</f>
        <v/>
      </c>
      <c r="H8" s="8">
        <f>SUMPRODUCT(($A$2:$A$239=A8)*($D$2:$D$239&gt;D8))+1</f>
        <v/>
      </c>
    </row>
    <row r="9">
      <c r="A9" s="10" t="inlineStr">
        <is>
          <t>Simulado 01</t>
        </is>
      </c>
      <c r="B9" s="10" t="inlineStr">
        <is>
          <t>6ª Fase</t>
        </is>
      </c>
      <c r="C9" s="10" t="inlineStr">
        <is>
          <t>Heitor Antônio Giehl</t>
        </is>
      </c>
      <c r="D9" s="11" t="n">
        <v>19</v>
      </c>
      <c r="E9" s="11" t="n">
        <v>39</v>
      </c>
      <c r="F9" s="12">
        <f>IF(E9=0,"",D9/E9)</f>
        <v/>
      </c>
      <c r="G9" s="11">
        <f>SUMPRODUCT(($A$2:$A$239=A9)*($B$2:$B$239=B9)*($D$2:$D$239&gt;D9))+1</f>
        <v/>
      </c>
      <c r="H9" s="11">
        <f>SUMPRODUCT(($A$2:$A$239=A9)*($D$2:$D$239&gt;D9))+1</f>
        <v/>
      </c>
    </row>
    <row r="10">
      <c r="A10" s="7" t="inlineStr">
        <is>
          <t>Simulado 01</t>
        </is>
      </c>
      <c r="B10" s="7" t="inlineStr">
        <is>
          <t>6ª Fase</t>
        </is>
      </c>
      <c r="C10" s="7" t="inlineStr">
        <is>
          <t>João Otávio Correa Machado</t>
        </is>
      </c>
      <c r="D10" s="8" t="n">
        <v>26</v>
      </c>
      <c r="E10" s="8" t="n">
        <v>39</v>
      </c>
      <c r="F10" s="9">
        <f>IF(E10=0,"",D10/E10)</f>
        <v/>
      </c>
      <c r="G10" s="8">
        <f>SUMPRODUCT(($A$2:$A$239=A10)*($B$2:$B$239=B10)*($D$2:$D$239&gt;D10))+1</f>
        <v/>
      </c>
      <c r="H10" s="8">
        <f>SUMPRODUCT(($A$2:$A$239=A10)*($D$2:$D$239&gt;D10))+1</f>
        <v/>
      </c>
    </row>
    <row r="11">
      <c r="A11" s="10" t="inlineStr">
        <is>
          <t>Simulado 01</t>
        </is>
      </c>
      <c r="B11" s="10" t="inlineStr">
        <is>
          <t>6ª Fase</t>
        </is>
      </c>
      <c r="C11" s="10" t="inlineStr">
        <is>
          <t>Larissa Raimundo</t>
        </is>
      </c>
      <c r="D11" s="11" t="n">
        <v>17</v>
      </c>
      <c r="E11" s="11" t="n">
        <v>39</v>
      </c>
      <c r="F11" s="12">
        <f>IF(E11=0,"",D11/E11)</f>
        <v/>
      </c>
      <c r="G11" s="11">
        <f>SUMPRODUCT(($A$2:$A$239=A11)*($B$2:$B$239=B11)*($D$2:$D$239&gt;D11))+1</f>
        <v/>
      </c>
      <c r="H11" s="11">
        <f>SUMPRODUCT(($A$2:$A$239=A11)*($D$2:$D$239&gt;D11))+1</f>
        <v/>
      </c>
    </row>
    <row r="12">
      <c r="A12" s="7" t="inlineStr">
        <is>
          <t>Simulado 01</t>
        </is>
      </c>
      <c r="B12" s="7" t="inlineStr">
        <is>
          <t>6ª Fase</t>
        </is>
      </c>
      <c r="C12" s="7" t="inlineStr">
        <is>
          <t>Leandro Batista de Oliveira</t>
        </is>
      </c>
      <c r="D12" s="8" t="n">
        <v>25</v>
      </c>
      <c r="E12" s="8" t="n">
        <v>39</v>
      </c>
      <c r="F12" s="9">
        <f>IF(E12=0,"",D12/E12)</f>
        <v/>
      </c>
      <c r="G12" s="8">
        <f>SUMPRODUCT(($A$2:$A$239=A12)*($B$2:$B$239=B12)*($D$2:$D$239&gt;D12))+1</f>
        <v/>
      </c>
      <c r="H12" s="8">
        <f>SUMPRODUCT(($A$2:$A$239=A12)*($D$2:$D$239&gt;D12))+1</f>
        <v/>
      </c>
    </row>
    <row r="13">
      <c r="A13" s="10" t="inlineStr">
        <is>
          <t>Simulado 01</t>
        </is>
      </c>
      <c r="B13" s="10" t="inlineStr">
        <is>
          <t>6ª Fase</t>
        </is>
      </c>
      <c r="C13" s="10" t="inlineStr">
        <is>
          <t>Léo Jaime Xavier da Silva</t>
        </is>
      </c>
      <c r="D13" s="11" t="n">
        <v>22</v>
      </c>
      <c r="E13" s="11" t="n">
        <v>39</v>
      </c>
      <c r="F13" s="12">
        <f>IF(E13=0,"",D13/E13)</f>
        <v/>
      </c>
      <c r="G13" s="11">
        <f>SUMPRODUCT(($A$2:$A$239=A13)*($B$2:$B$239=B13)*($D$2:$D$239&gt;D13))+1</f>
        <v/>
      </c>
      <c r="H13" s="11">
        <f>SUMPRODUCT(($A$2:$A$239=A13)*($D$2:$D$239&gt;D13))+1</f>
        <v/>
      </c>
    </row>
    <row r="14">
      <c r="A14" s="7" t="inlineStr">
        <is>
          <t>Simulado 01</t>
        </is>
      </c>
      <c r="B14" s="7" t="inlineStr">
        <is>
          <t>6ª Fase</t>
        </is>
      </c>
      <c r="C14" s="7" t="inlineStr">
        <is>
          <t>Letícia Tiburski da Rocha</t>
        </is>
      </c>
      <c r="D14" s="8" t="n">
        <v>23</v>
      </c>
      <c r="E14" s="8" t="n">
        <v>39</v>
      </c>
      <c r="F14" s="9">
        <f>IF(E14=0,"",D14/E14)</f>
        <v/>
      </c>
      <c r="G14" s="8">
        <f>SUMPRODUCT(($A$2:$A$239=A14)*($B$2:$B$239=B14)*($D$2:$D$239&gt;D14))+1</f>
        <v/>
      </c>
      <c r="H14" s="8">
        <f>SUMPRODUCT(($A$2:$A$239=A14)*($D$2:$D$239&gt;D14))+1</f>
        <v/>
      </c>
    </row>
    <row r="15">
      <c r="A15" s="10" t="inlineStr">
        <is>
          <t>Simulado 01</t>
        </is>
      </c>
      <c r="B15" s="10" t="inlineStr">
        <is>
          <t>6ª Fase</t>
        </is>
      </c>
      <c r="C15" s="10" t="inlineStr">
        <is>
          <t>Lohana Helena da Fonseca Silva</t>
        </is>
      </c>
      <c r="D15" s="11" t="n">
        <v>25</v>
      </c>
      <c r="E15" s="11" t="n">
        <v>39</v>
      </c>
      <c r="F15" s="12">
        <f>IF(E15=0,"",D15/E15)</f>
        <v/>
      </c>
      <c r="G15" s="11">
        <f>SUMPRODUCT(($A$2:$A$239=A15)*($B$2:$B$239=B15)*($D$2:$D$239&gt;D15))+1</f>
        <v/>
      </c>
      <c r="H15" s="11">
        <f>SUMPRODUCT(($A$2:$A$239=A15)*($D$2:$D$239&gt;D15))+1</f>
        <v/>
      </c>
    </row>
    <row r="16">
      <c r="A16" s="7" t="inlineStr">
        <is>
          <t>Simulado 01</t>
        </is>
      </c>
      <c r="B16" s="7" t="inlineStr">
        <is>
          <t>6ª Fase</t>
        </is>
      </c>
      <c r="C16" s="7" t="inlineStr">
        <is>
          <t>Lucas Bongiolo</t>
        </is>
      </c>
      <c r="D16" s="8" t="n">
        <v>18</v>
      </c>
      <c r="E16" s="8" t="n">
        <v>39</v>
      </c>
      <c r="F16" s="9">
        <f>IF(E16=0,"",D16/E16)</f>
        <v/>
      </c>
      <c r="G16" s="8">
        <f>SUMPRODUCT(($A$2:$A$239=A16)*($B$2:$B$239=B16)*($D$2:$D$239&gt;D16))+1</f>
        <v/>
      </c>
      <c r="H16" s="8">
        <f>SUMPRODUCT(($A$2:$A$239=A16)*($D$2:$D$239&gt;D16))+1</f>
        <v/>
      </c>
    </row>
    <row r="17">
      <c r="A17" s="10" t="inlineStr">
        <is>
          <t>Simulado 01</t>
        </is>
      </c>
      <c r="B17" s="10" t="inlineStr">
        <is>
          <t>6ª Fase</t>
        </is>
      </c>
      <c r="C17" s="10" t="inlineStr">
        <is>
          <t>Lucas Paulo Tito Staloch</t>
        </is>
      </c>
      <c r="D17" s="11" t="n">
        <v>21</v>
      </c>
      <c r="E17" s="11" t="n">
        <v>39</v>
      </c>
      <c r="F17" s="12">
        <f>IF(E17=0,"",D17/E17)</f>
        <v/>
      </c>
      <c r="G17" s="11">
        <f>SUMPRODUCT(($A$2:$A$239=A17)*($B$2:$B$239=B17)*($D$2:$D$239&gt;D17))+1</f>
        <v/>
      </c>
      <c r="H17" s="11">
        <f>SUMPRODUCT(($A$2:$A$239=A17)*($D$2:$D$239&gt;D17))+1</f>
        <v/>
      </c>
    </row>
    <row r="18">
      <c r="A18" s="7" t="inlineStr">
        <is>
          <t>Simulado 01</t>
        </is>
      </c>
      <c r="B18" s="7" t="inlineStr">
        <is>
          <t>6ª Fase</t>
        </is>
      </c>
      <c r="C18" s="7" t="inlineStr">
        <is>
          <t>Maísa Laguna</t>
        </is>
      </c>
      <c r="D18" s="8" t="n">
        <v>23</v>
      </c>
      <c r="E18" s="8" t="n">
        <v>39</v>
      </c>
      <c r="F18" s="9">
        <f>IF(E18=0,"",D18/E18)</f>
        <v/>
      </c>
      <c r="G18" s="8">
        <f>SUMPRODUCT(($A$2:$A$239=A18)*($B$2:$B$239=B18)*($D$2:$D$239&gt;D18))+1</f>
        <v/>
      </c>
      <c r="H18" s="8">
        <f>SUMPRODUCT(($A$2:$A$239=A18)*($D$2:$D$239&gt;D18))+1</f>
        <v/>
      </c>
    </row>
    <row r="19">
      <c r="A19" s="10" t="inlineStr">
        <is>
          <t>Simulado 01</t>
        </is>
      </c>
      <c r="B19" s="10" t="inlineStr">
        <is>
          <t>6ª Fase</t>
        </is>
      </c>
      <c r="C19" s="10" t="inlineStr">
        <is>
          <t>Manuela Cristine Silva</t>
        </is>
      </c>
      <c r="D19" s="11" t="n">
        <v>25</v>
      </c>
      <c r="E19" s="11" t="n">
        <v>39</v>
      </c>
      <c r="F19" s="12">
        <f>IF(E19=0,"",D19/E19)</f>
        <v/>
      </c>
      <c r="G19" s="11">
        <f>SUMPRODUCT(($A$2:$A$239=A19)*($B$2:$B$239=B19)*($D$2:$D$239&gt;D19))+1</f>
        <v/>
      </c>
      <c r="H19" s="11">
        <f>SUMPRODUCT(($A$2:$A$239=A19)*($D$2:$D$239&gt;D19))+1</f>
        <v/>
      </c>
    </row>
    <row r="20">
      <c r="A20" s="7" t="inlineStr">
        <is>
          <t>Simulado 01</t>
        </is>
      </c>
      <c r="B20" s="7" t="inlineStr">
        <is>
          <t>6ª Fase</t>
        </is>
      </c>
      <c r="C20" s="7" t="inlineStr">
        <is>
          <t>Mara Camily Kammers Cunha</t>
        </is>
      </c>
      <c r="D20" s="8" t="n">
        <v>23</v>
      </c>
      <c r="E20" s="8" t="n">
        <v>39</v>
      </c>
      <c r="F20" s="9">
        <f>IF(E20=0,"",D20/E20)</f>
        <v/>
      </c>
      <c r="G20" s="8">
        <f>SUMPRODUCT(($A$2:$A$239=A20)*($B$2:$B$239=B20)*($D$2:$D$239&gt;D20))+1</f>
        <v/>
      </c>
      <c r="H20" s="8">
        <f>SUMPRODUCT(($A$2:$A$239=A20)*($D$2:$D$239&gt;D20))+1</f>
        <v/>
      </c>
    </row>
    <row r="21">
      <c r="A21" s="10" t="inlineStr">
        <is>
          <t>Simulado 01</t>
        </is>
      </c>
      <c r="B21" s="10" t="inlineStr">
        <is>
          <t>6ª Fase</t>
        </is>
      </c>
      <c r="C21" s="10" t="inlineStr">
        <is>
          <t>Maria Eduarda Silveira Navarro Lins</t>
        </is>
      </c>
      <c r="D21" s="11" t="n">
        <v>26</v>
      </c>
      <c r="E21" s="11" t="n">
        <v>39</v>
      </c>
      <c r="F21" s="12">
        <f>IF(E21=0,"",D21/E21)</f>
        <v/>
      </c>
      <c r="G21" s="11">
        <f>SUMPRODUCT(($A$2:$A$239=A21)*($B$2:$B$239=B21)*($D$2:$D$239&gt;D21))+1</f>
        <v/>
      </c>
      <c r="H21" s="11">
        <f>SUMPRODUCT(($A$2:$A$239=A21)*($D$2:$D$239&gt;D21))+1</f>
        <v/>
      </c>
    </row>
    <row r="22">
      <c r="A22" s="7" t="inlineStr">
        <is>
          <t>Simulado 01</t>
        </is>
      </c>
      <c r="B22" s="7" t="inlineStr">
        <is>
          <t>6ª Fase</t>
        </is>
      </c>
      <c r="C22" s="7" t="inlineStr">
        <is>
          <t>Maria Isadora Baptista Pianezzer</t>
        </is>
      </c>
      <c r="D22" s="8" t="n">
        <v>19</v>
      </c>
      <c r="E22" s="8" t="n">
        <v>39</v>
      </c>
      <c r="F22" s="9">
        <f>IF(E22=0,"",D22/E22)</f>
        <v/>
      </c>
      <c r="G22" s="8">
        <f>SUMPRODUCT(($A$2:$A$239=A22)*($B$2:$B$239=B22)*($D$2:$D$239&gt;D22))+1</f>
        <v/>
      </c>
      <c r="H22" s="8">
        <f>SUMPRODUCT(($A$2:$A$239=A22)*($D$2:$D$239&gt;D22))+1</f>
        <v/>
      </c>
    </row>
    <row r="23">
      <c r="A23" s="10" t="inlineStr">
        <is>
          <t>Simulado 01</t>
        </is>
      </c>
      <c r="B23" s="10" t="inlineStr">
        <is>
          <t>6ª Fase</t>
        </is>
      </c>
      <c r="C23" s="10" t="inlineStr">
        <is>
          <t>Pedro Henrique Daniel Abreu</t>
        </is>
      </c>
      <c r="D23" s="11" t="n">
        <v>18</v>
      </c>
      <c r="E23" s="11" t="n">
        <v>39</v>
      </c>
      <c r="F23" s="12">
        <f>IF(E23=0,"",D23/E23)</f>
        <v/>
      </c>
      <c r="G23" s="11">
        <f>SUMPRODUCT(($A$2:$A$239=A23)*($B$2:$B$239=B23)*($D$2:$D$239&gt;D23))+1</f>
        <v/>
      </c>
      <c r="H23" s="11">
        <f>SUMPRODUCT(($A$2:$A$239=A23)*($D$2:$D$239&gt;D23))+1</f>
        <v/>
      </c>
    </row>
    <row r="24">
      <c r="A24" s="7" t="inlineStr">
        <is>
          <t>Simulado 01</t>
        </is>
      </c>
      <c r="B24" s="7" t="inlineStr">
        <is>
          <t>6ª Fase</t>
        </is>
      </c>
      <c r="C24" s="7" t="inlineStr">
        <is>
          <t>Pedro Werner Eger</t>
        </is>
      </c>
      <c r="D24" s="8" t="n">
        <v>17</v>
      </c>
      <c r="E24" s="8" t="n">
        <v>39</v>
      </c>
      <c r="F24" s="9">
        <f>IF(E24=0,"",D24/E24)</f>
        <v/>
      </c>
      <c r="G24" s="8">
        <f>SUMPRODUCT(($A$2:$A$239=A24)*($B$2:$B$239=B24)*($D$2:$D$239&gt;D24))+1</f>
        <v/>
      </c>
      <c r="H24" s="8">
        <f>SUMPRODUCT(($A$2:$A$239=A24)*($D$2:$D$239&gt;D24))+1</f>
        <v/>
      </c>
    </row>
    <row r="25">
      <c r="A25" s="10" t="inlineStr">
        <is>
          <t>Simulado 01</t>
        </is>
      </c>
      <c r="B25" s="10" t="inlineStr">
        <is>
          <t>6ª Fase</t>
        </is>
      </c>
      <c r="C25" s="10" t="inlineStr">
        <is>
          <t>Tharik Stache Ribeiro</t>
        </is>
      </c>
      <c r="D25" s="11" t="n">
        <v>24</v>
      </c>
      <c r="E25" s="11" t="n">
        <v>39</v>
      </c>
      <c r="F25" s="12">
        <f>IF(E25=0,"",D25/E25)</f>
        <v/>
      </c>
      <c r="G25" s="11">
        <f>SUMPRODUCT(($A$2:$A$239=A25)*($B$2:$B$239=B25)*($D$2:$D$239&gt;D25))+1</f>
        <v/>
      </c>
      <c r="H25" s="11">
        <f>SUMPRODUCT(($A$2:$A$239=A25)*($D$2:$D$239&gt;D25))+1</f>
        <v/>
      </c>
    </row>
    <row r="26">
      <c r="A26" s="7" t="inlineStr">
        <is>
          <t>Simulado 01</t>
        </is>
      </c>
      <c r="B26" s="7" t="inlineStr">
        <is>
          <t>6ª Fase</t>
        </is>
      </c>
      <c r="C26" s="7" t="inlineStr">
        <is>
          <t>Thiago Matheussi Alves</t>
        </is>
      </c>
      <c r="D26" s="8" t="n">
        <v>23</v>
      </c>
      <c r="E26" s="8" t="n">
        <v>39</v>
      </c>
      <c r="F26" s="9">
        <f>IF(E26=0,"",D26/E26)</f>
        <v/>
      </c>
      <c r="G26" s="8">
        <f>SUMPRODUCT(($A$2:$A$239=A26)*($B$2:$B$239=B26)*($D$2:$D$239&gt;D26))+1</f>
        <v/>
      </c>
      <c r="H26" s="8">
        <f>SUMPRODUCT(($A$2:$A$239=A26)*($D$2:$D$239&gt;D26))+1</f>
        <v/>
      </c>
    </row>
    <row r="27">
      <c r="A27" s="10" t="inlineStr">
        <is>
          <t>Simulado 01</t>
        </is>
      </c>
      <c r="B27" s="10" t="inlineStr">
        <is>
          <t>6ª Fase</t>
        </is>
      </c>
      <c r="C27" s="10" t="inlineStr">
        <is>
          <t>Thiago Robert Brito de Lima</t>
        </is>
      </c>
      <c r="D27" s="11" t="n">
        <v>25</v>
      </c>
      <c r="E27" s="11" t="n">
        <v>39</v>
      </c>
      <c r="F27" s="12">
        <f>IF(E27=0,"",D27/E27)</f>
        <v/>
      </c>
      <c r="G27" s="11">
        <f>SUMPRODUCT(($A$2:$A$239=A27)*($B$2:$B$239=B27)*($D$2:$D$239&gt;D27))+1</f>
        <v/>
      </c>
      <c r="H27" s="11">
        <f>SUMPRODUCT(($A$2:$A$239=A27)*($D$2:$D$239&gt;D27))+1</f>
        <v/>
      </c>
    </row>
    <row r="28">
      <c r="A28" s="7" t="inlineStr">
        <is>
          <t>Simulado 01</t>
        </is>
      </c>
      <c r="B28" s="7" t="inlineStr">
        <is>
          <t>6ª Fase</t>
        </is>
      </c>
      <c r="C28" s="7" t="inlineStr">
        <is>
          <t>Victor Hugo Tonet</t>
        </is>
      </c>
      <c r="D28" s="8" t="n">
        <v>26</v>
      </c>
      <c r="E28" s="8" t="n">
        <v>39</v>
      </c>
      <c r="F28" s="9">
        <f>IF(E28=0,"",D28/E28)</f>
        <v/>
      </c>
      <c r="G28" s="8">
        <f>SUMPRODUCT(($A$2:$A$239=A28)*($B$2:$B$239=B28)*($D$2:$D$239&gt;D28))+1</f>
        <v/>
      </c>
      <c r="H28" s="8">
        <f>SUMPRODUCT(($A$2:$A$239=A28)*($D$2:$D$239&gt;D28))+1</f>
        <v/>
      </c>
    </row>
    <row r="29">
      <c r="A29" s="10" t="inlineStr">
        <is>
          <t>Simulado 01</t>
        </is>
      </c>
      <c r="B29" s="10" t="inlineStr">
        <is>
          <t>7ª Fase</t>
        </is>
      </c>
      <c r="C29" s="10" t="inlineStr">
        <is>
          <t>Abraham Lincoln Galdino Costa</t>
        </is>
      </c>
      <c r="D29" s="11" t="n">
        <v>23</v>
      </c>
      <c r="E29" s="11" t="n">
        <v>39</v>
      </c>
      <c r="F29" s="12">
        <f>IF(E29=0,"",D29/E29)</f>
        <v/>
      </c>
      <c r="G29" s="11">
        <f>SUMPRODUCT(($A$2:$A$239=A29)*($B$2:$B$239=B29)*($D$2:$D$239&gt;D29))+1</f>
        <v/>
      </c>
      <c r="H29" s="11">
        <f>SUMPRODUCT(($A$2:$A$239=A29)*($D$2:$D$239&gt;D29))+1</f>
        <v/>
      </c>
    </row>
    <row r="30">
      <c r="A30" s="7" t="inlineStr">
        <is>
          <t>Simulado 01</t>
        </is>
      </c>
      <c r="B30" s="7" t="inlineStr">
        <is>
          <t>7ª Fase</t>
        </is>
      </c>
      <c r="C30" s="7" t="inlineStr">
        <is>
          <t>Ana Luiza Tenfen</t>
        </is>
      </c>
      <c r="D30" s="8" t="n">
        <v>27</v>
      </c>
      <c r="E30" s="8" t="n">
        <v>39</v>
      </c>
      <c r="F30" s="9">
        <f>IF(E30=0,"",D30/E30)</f>
        <v/>
      </c>
      <c r="G30" s="8">
        <f>SUMPRODUCT(($A$2:$A$239=A30)*($B$2:$B$239=B30)*($D$2:$D$239&gt;D30))+1</f>
        <v/>
      </c>
      <c r="H30" s="8">
        <f>SUMPRODUCT(($A$2:$A$239=A30)*($D$2:$D$239&gt;D30))+1</f>
        <v/>
      </c>
    </row>
    <row r="31">
      <c r="A31" s="10" t="inlineStr">
        <is>
          <t>Simulado 01</t>
        </is>
      </c>
      <c r="B31" s="10" t="inlineStr">
        <is>
          <t>7ª Fase</t>
        </is>
      </c>
      <c r="C31" s="10" t="inlineStr">
        <is>
          <t>Antonella Gubert Verch</t>
        </is>
      </c>
      <c r="D31" s="11" t="n">
        <v>25</v>
      </c>
      <c r="E31" s="11" t="n">
        <v>39</v>
      </c>
      <c r="F31" s="12">
        <f>IF(E31=0,"",D31/E31)</f>
        <v/>
      </c>
      <c r="G31" s="11">
        <f>SUMPRODUCT(($A$2:$A$239=A31)*($B$2:$B$239=B31)*($D$2:$D$239&gt;D31))+1</f>
        <v/>
      </c>
      <c r="H31" s="11">
        <f>SUMPRODUCT(($A$2:$A$239=A31)*($D$2:$D$239&gt;D31))+1</f>
        <v/>
      </c>
    </row>
    <row r="32">
      <c r="A32" s="7" t="inlineStr">
        <is>
          <t>Simulado 01</t>
        </is>
      </c>
      <c r="B32" s="7" t="inlineStr">
        <is>
          <t>7ª Fase</t>
        </is>
      </c>
      <c r="C32" s="7" t="inlineStr">
        <is>
          <t>Augusto Henrique Gamba</t>
        </is>
      </c>
      <c r="D32" s="8" t="n">
        <v>21</v>
      </c>
      <c r="E32" s="8" t="n">
        <v>39</v>
      </c>
      <c r="F32" s="9">
        <f>IF(E32=0,"",D32/E32)</f>
        <v/>
      </c>
      <c r="G32" s="8">
        <f>SUMPRODUCT(($A$2:$A$239=A32)*($B$2:$B$239=B32)*($D$2:$D$239&gt;D32))+1</f>
        <v/>
      </c>
      <c r="H32" s="8">
        <f>SUMPRODUCT(($A$2:$A$239=A32)*($D$2:$D$239&gt;D32))+1</f>
        <v/>
      </c>
    </row>
    <row r="33">
      <c r="A33" s="10" t="inlineStr">
        <is>
          <t>Simulado 01</t>
        </is>
      </c>
      <c r="B33" s="10" t="inlineStr">
        <is>
          <t>7ª Fase</t>
        </is>
      </c>
      <c r="C33" s="10" t="inlineStr">
        <is>
          <t>Bruna Gonzalez Nejm</t>
        </is>
      </c>
      <c r="D33" s="11" t="n">
        <v>26</v>
      </c>
      <c r="E33" s="11" t="n">
        <v>39</v>
      </c>
      <c r="F33" s="12">
        <f>IF(E33=0,"",D33/E33)</f>
        <v/>
      </c>
      <c r="G33" s="11">
        <f>SUMPRODUCT(($A$2:$A$239=A33)*($B$2:$B$239=B33)*($D$2:$D$239&gt;D33))+1</f>
        <v/>
      </c>
      <c r="H33" s="11">
        <f>SUMPRODUCT(($A$2:$A$239=A33)*($D$2:$D$239&gt;D33))+1</f>
        <v/>
      </c>
    </row>
    <row r="34">
      <c r="A34" s="7" t="inlineStr">
        <is>
          <t>Simulado 01</t>
        </is>
      </c>
      <c r="B34" s="7" t="inlineStr">
        <is>
          <t>7ª Fase</t>
        </is>
      </c>
      <c r="C34" s="7" t="inlineStr">
        <is>
          <t>Carl Zolet Jonck</t>
        </is>
      </c>
      <c r="D34" s="8" t="n">
        <v>21</v>
      </c>
      <c r="E34" s="8" t="n">
        <v>39</v>
      </c>
      <c r="F34" s="9">
        <f>IF(E34=0,"",D34/E34)</f>
        <v/>
      </c>
      <c r="G34" s="8">
        <f>SUMPRODUCT(($A$2:$A$239=A34)*($B$2:$B$239=B34)*($D$2:$D$239&gt;D34))+1</f>
        <v/>
      </c>
      <c r="H34" s="8">
        <f>SUMPRODUCT(($A$2:$A$239=A34)*($D$2:$D$239&gt;D34))+1</f>
        <v/>
      </c>
    </row>
    <row r="35">
      <c r="A35" s="10" t="inlineStr">
        <is>
          <t>Simulado 01</t>
        </is>
      </c>
      <c r="B35" s="10" t="inlineStr">
        <is>
          <t>7ª Fase</t>
        </is>
      </c>
      <c r="C35" s="10" t="inlineStr">
        <is>
          <t>Élton Léo Junglos</t>
        </is>
      </c>
      <c r="D35" s="11" t="n">
        <v>17</v>
      </c>
      <c r="E35" s="11" t="n">
        <v>39</v>
      </c>
      <c r="F35" s="12">
        <f>IF(E35=0,"",D35/E35)</f>
        <v/>
      </c>
      <c r="G35" s="11">
        <f>SUMPRODUCT(($A$2:$A$239=A35)*($B$2:$B$239=B35)*($D$2:$D$239&gt;D35))+1</f>
        <v/>
      </c>
      <c r="H35" s="11">
        <f>SUMPRODUCT(($A$2:$A$239=A35)*($D$2:$D$239&gt;D35))+1</f>
        <v/>
      </c>
    </row>
    <row r="36">
      <c r="A36" s="7" t="inlineStr">
        <is>
          <t>Simulado 01</t>
        </is>
      </c>
      <c r="B36" s="7" t="inlineStr">
        <is>
          <t>7ª Fase</t>
        </is>
      </c>
      <c r="C36" s="7" t="inlineStr">
        <is>
          <t>Emanuela Tenfen</t>
        </is>
      </c>
      <c r="D36" s="8" t="n">
        <v>19</v>
      </c>
      <c r="E36" s="8" t="n">
        <v>39</v>
      </c>
      <c r="F36" s="9">
        <f>IF(E36=0,"",D36/E36)</f>
        <v/>
      </c>
      <c r="G36" s="8">
        <f>SUMPRODUCT(($A$2:$A$239=A36)*($B$2:$B$239=B36)*($D$2:$D$239&gt;D36))+1</f>
        <v/>
      </c>
      <c r="H36" s="8">
        <f>SUMPRODUCT(($A$2:$A$239=A36)*($D$2:$D$239&gt;D36))+1</f>
        <v/>
      </c>
    </row>
    <row r="37">
      <c r="A37" s="10" t="inlineStr">
        <is>
          <t>Simulado 01</t>
        </is>
      </c>
      <c r="B37" s="10" t="inlineStr">
        <is>
          <t>7ª Fase</t>
        </is>
      </c>
      <c r="C37" s="10" t="inlineStr">
        <is>
          <t>Emily Martins Arruda</t>
        </is>
      </c>
      <c r="D37" s="11" t="n">
        <v>25</v>
      </c>
      <c r="E37" s="11" t="n">
        <v>39</v>
      </c>
      <c r="F37" s="12">
        <f>IF(E37=0,"",D37/E37)</f>
        <v/>
      </c>
      <c r="G37" s="11">
        <f>SUMPRODUCT(($A$2:$A$239=A37)*($B$2:$B$239=B37)*($D$2:$D$239&gt;D37))+1</f>
        <v/>
      </c>
      <c r="H37" s="11">
        <f>SUMPRODUCT(($A$2:$A$239=A37)*($D$2:$D$239&gt;D37))+1</f>
        <v/>
      </c>
    </row>
    <row r="38">
      <c r="A38" s="7" t="inlineStr">
        <is>
          <t>Simulado 01</t>
        </is>
      </c>
      <c r="B38" s="7" t="inlineStr">
        <is>
          <t>7ª Fase</t>
        </is>
      </c>
      <c r="C38" s="7" t="inlineStr">
        <is>
          <t>Fernando Lima Nogueira</t>
        </is>
      </c>
      <c r="D38" s="8" t="n">
        <v>18</v>
      </c>
      <c r="E38" s="8" t="n">
        <v>39</v>
      </c>
      <c r="F38" s="9">
        <f>IF(E38=0,"",D38/E38)</f>
        <v/>
      </c>
      <c r="G38" s="8">
        <f>SUMPRODUCT(($A$2:$A$239=A38)*($B$2:$B$239=B38)*($D$2:$D$239&gt;D38))+1</f>
        <v/>
      </c>
      <c r="H38" s="8">
        <f>SUMPRODUCT(($A$2:$A$239=A38)*($D$2:$D$239&gt;D38))+1</f>
        <v/>
      </c>
    </row>
    <row r="39">
      <c r="A39" s="10" t="inlineStr">
        <is>
          <t>Simulado 01</t>
        </is>
      </c>
      <c r="B39" s="10" t="inlineStr">
        <is>
          <t>7ª Fase</t>
        </is>
      </c>
      <c r="C39" s="10" t="inlineStr">
        <is>
          <t>Gabriel Borella Rosado</t>
        </is>
      </c>
      <c r="D39" s="11" t="n">
        <v>18</v>
      </c>
      <c r="E39" s="11" t="n">
        <v>39</v>
      </c>
      <c r="F39" s="12">
        <f>IF(E39=0,"",D39/E39)</f>
        <v/>
      </c>
      <c r="G39" s="11">
        <f>SUMPRODUCT(($A$2:$A$239=A39)*($B$2:$B$239=B39)*($D$2:$D$239&gt;D39))+1</f>
        <v/>
      </c>
      <c r="H39" s="11">
        <f>SUMPRODUCT(($A$2:$A$239=A39)*($D$2:$D$239&gt;D39))+1</f>
        <v/>
      </c>
    </row>
    <row r="40">
      <c r="A40" s="7" t="inlineStr">
        <is>
          <t>Simulado 01</t>
        </is>
      </c>
      <c r="B40" s="7" t="inlineStr">
        <is>
          <t>7ª Fase</t>
        </is>
      </c>
      <c r="C40" s="7" t="inlineStr">
        <is>
          <t>Gabriela Lucia Imhoff</t>
        </is>
      </c>
      <c r="D40" s="8" t="n">
        <v>26</v>
      </c>
      <c r="E40" s="8" t="n">
        <v>39</v>
      </c>
      <c r="F40" s="9">
        <f>IF(E40=0,"",D40/E40)</f>
        <v/>
      </c>
      <c r="G40" s="8">
        <f>SUMPRODUCT(($A$2:$A$239=A40)*($B$2:$B$239=B40)*($D$2:$D$239&gt;D40))+1</f>
        <v/>
      </c>
      <c r="H40" s="8">
        <f>SUMPRODUCT(($A$2:$A$239=A40)*($D$2:$D$239&gt;D40))+1</f>
        <v/>
      </c>
    </row>
    <row r="41">
      <c r="A41" s="10" t="inlineStr">
        <is>
          <t>Simulado 01</t>
        </is>
      </c>
      <c r="B41" s="10" t="inlineStr">
        <is>
          <t>7ª Fase</t>
        </is>
      </c>
      <c r="C41" s="10" t="inlineStr">
        <is>
          <t>Gabriela Luiza Cezar</t>
        </is>
      </c>
      <c r="D41" s="11" t="n">
        <v>23</v>
      </c>
      <c r="E41" s="11" t="n">
        <v>39</v>
      </c>
      <c r="F41" s="12">
        <f>IF(E41=0,"",D41/E41)</f>
        <v/>
      </c>
      <c r="G41" s="11">
        <f>SUMPRODUCT(($A$2:$A$239=A41)*($B$2:$B$239=B41)*($D$2:$D$239&gt;D41))+1</f>
        <v/>
      </c>
      <c r="H41" s="11">
        <f>SUMPRODUCT(($A$2:$A$239=A41)*($D$2:$D$239&gt;D41))+1</f>
        <v/>
      </c>
    </row>
    <row r="42">
      <c r="A42" s="7" t="inlineStr">
        <is>
          <t>Simulado 01</t>
        </is>
      </c>
      <c r="B42" s="7" t="inlineStr">
        <is>
          <t>7ª Fase</t>
        </is>
      </c>
      <c r="C42" s="7" t="inlineStr">
        <is>
          <t>Gabriela Tambosi Catafesta</t>
        </is>
      </c>
      <c r="D42" s="8" t="n">
        <v>25</v>
      </c>
      <c r="E42" s="8" t="n">
        <v>39</v>
      </c>
      <c r="F42" s="9">
        <f>IF(E42=0,"",D42/E42)</f>
        <v/>
      </c>
      <c r="G42" s="8">
        <f>SUMPRODUCT(($A$2:$A$239=A42)*($B$2:$B$239=B42)*($D$2:$D$239&gt;D42))+1</f>
        <v/>
      </c>
      <c r="H42" s="8">
        <f>SUMPRODUCT(($A$2:$A$239=A42)*($D$2:$D$239&gt;D42))+1</f>
        <v/>
      </c>
    </row>
    <row r="43">
      <c r="A43" s="10" t="inlineStr">
        <is>
          <t>Simulado 01</t>
        </is>
      </c>
      <c r="B43" s="10" t="inlineStr">
        <is>
          <t>7ª Fase</t>
        </is>
      </c>
      <c r="C43" s="10" t="inlineStr">
        <is>
          <t>Gercino de Matos Neto</t>
        </is>
      </c>
      <c r="D43" s="11" t="n">
        <v>24</v>
      </c>
      <c r="E43" s="11" t="n">
        <v>39</v>
      </c>
      <c r="F43" s="12">
        <f>IF(E43=0,"",D43/E43)</f>
        <v/>
      </c>
      <c r="G43" s="11">
        <f>SUMPRODUCT(($A$2:$A$239=A43)*($B$2:$B$239=B43)*($D$2:$D$239&gt;D43))+1</f>
        <v/>
      </c>
      <c r="H43" s="11">
        <f>SUMPRODUCT(($A$2:$A$239=A43)*($D$2:$D$239&gt;D43))+1</f>
        <v/>
      </c>
    </row>
    <row r="44">
      <c r="A44" s="7" t="inlineStr">
        <is>
          <t>Simulado 01</t>
        </is>
      </c>
      <c r="B44" s="7" t="inlineStr">
        <is>
          <t>7ª Fase</t>
        </is>
      </c>
      <c r="C44" s="7" t="inlineStr">
        <is>
          <t>Graciane Zemke</t>
        </is>
      </c>
      <c r="D44" s="8" t="n">
        <v>24</v>
      </c>
      <c r="E44" s="8" t="n">
        <v>39</v>
      </c>
      <c r="F44" s="9">
        <f>IF(E44=0,"",D44/E44)</f>
        <v/>
      </c>
      <c r="G44" s="8">
        <f>SUMPRODUCT(($A$2:$A$239=A44)*($B$2:$B$239=B44)*($D$2:$D$239&gt;D44))+1</f>
        <v/>
      </c>
      <c r="H44" s="8">
        <f>SUMPRODUCT(($A$2:$A$239=A44)*($D$2:$D$239&gt;D44))+1</f>
        <v/>
      </c>
    </row>
    <row r="45">
      <c r="A45" s="10" t="inlineStr">
        <is>
          <t>Simulado 01</t>
        </is>
      </c>
      <c r="B45" s="10" t="inlineStr">
        <is>
          <t>7ª Fase</t>
        </is>
      </c>
      <c r="C45" s="10" t="inlineStr">
        <is>
          <t>Henrique de Moraes Andrade</t>
        </is>
      </c>
      <c r="D45" s="11" t="n">
        <v>17</v>
      </c>
      <c r="E45" s="11" t="n">
        <v>39</v>
      </c>
      <c r="F45" s="12">
        <f>IF(E45=0,"",D45/E45)</f>
        <v/>
      </c>
      <c r="G45" s="11">
        <f>SUMPRODUCT(($A$2:$A$239=A45)*($B$2:$B$239=B45)*($D$2:$D$239&gt;D45))+1</f>
        <v/>
      </c>
      <c r="H45" s="11">
        <f>SUMPRODUCT(($A$2:$A$239=A45)*($D$2:$D$239&gt;D45))+1</f>
        <v/>
      </c>
    </row>
    <row r="46">
      <c r="A46" s="7" t="inlineStr">
        <is>
          <t>Simulado 01</t>
        </is>
      </c>
      <c r="B46" s="7" t="inlineStr">
        <is>
          <t>7ª Fase</t>
        </is>
      </c>
      <c r="C46" s="7" t="inlineStr">
        <is>
          <t>Íris Lyra Martendal</t>
        </is>
      </c>
      <c r="D46" s="8" t="n">
        <v>16</v>
      </c>
      <c r="E46" s="8" t="n">
        <v>39</v>
      </c>
      <c r="F46" s="9">
        <f>IF(E46=0,"",D46/E46)</f>
        <v/>
      </c>
      <c r="G46" s="8">
        <f>SUMPRODUCT(($A$2:$A$239=A46)*($B$2:$B$239=B46)*($D$2:$D$239&gt;D46))+1</f>
        <v/>
      </c>
      <c r="H46" s="8">
        <f>SUMPRODUCT(($A$2:$A$239=A46)*($D$2:$D$239&gt;D46))+1</f>
        <v/>
      </c>
    </row>
    <row r="47">
      <c r="A47" s="10" t="inlineStr">
        <is>
          <t>Simulado 01</t>
        </is>
      </c>
      <c r="B47" s="10" t="inlineStr">
        <is>
          <t>7ª Fase</t>
        </is>
      </c>
      <c r="C47" s="10" t="inlineStr">
        <is>
          <t>Jaqueline Klagemberg</t>
        </is>
      </c>
      <c r="D47" s="11" t="n">
        <v>19</v>
      </c>
      <c r="E47" s="11" t="n">
        <v>39</v>
      </c>
      <c r="F47" s="12">
        <f>IF(E47=0,"",D47/E47)</f>
        <v/>
      </c>
      <c r="G47" s="11">
        <f>SUMPRODUCT(($A$2:$A$239=A47)*($B$2:$B$239=B47)*($D$2:$D$239&gt;D47))+1</f>
        <v/>
      </c>
      <c r="H47" s="11">
        <f>SUMPRODUCT(($A$2:$A$239=A47)*($D$2:$D$239&gt;D47))+1</f>
        <v/>
      </c>
    </row>
    <row r="48">
      <c r="A48" s="7" t="inlineStr">
        <is>
          <t>Simulado 01</t>
        </is>
      </c>
      <c r="B48" s="7" t="inlineStr">
        <is>
          <t>7ª Fase</t>
        </is>
      </c>
      <c r="C48" s="7" t="inlineStr">
        <is>
          <t>Jaqueline Vansuita</t>
        </is>
      </c>
      <c r="D48" s="8" t="n">
        <v>22</v>
      </c>
      <c r="E48" s="8" t="n">
        <v>39</v>
      </c>
      <c r="F48" s="9">
        <f>IF(E48=0,"",D48/E48)</f>
        <v/>
      </c>
      <c r="G48" s="8">
        <f>SUMPRODUCT(($A$2:$A$239=A48)*($B$2:$B$239=B48)*($D$2:$D$239&gt;D48))+1</f>
        <v/>
      </c>
      <c r="H48" s="8">
        <f>SUMPRODUCT(($A$2:$A$239=A48)*($D$2:$D$239&gt;D48))+1</f>
        <v/>
      </c>
    </row>
    <row r="49">
      <c r="A49" s="10" t="inlineStr">
        <is>
          <t>Simulado 01</t>
        </is>
      </c>
      <c r="B49" s="10" t="inlineStr">
        <is>
          <t>7ª Fase</t>
        </is>
      </c>
      <c r="C49" s="10" t="inlineStr">
        <is>
          <t>Kalessa Pereira Menegusse</t>
        </is>
      </c>
      <c r="D49" s="11" t="n">
        <v>17</v>
      </c>
      <c r="E49" s="11" t="n">
        <v>39</v>
      </c>
      <c r="F49" s="12">
        <f>IF(E49=0,"",D49/E49)</f>
        <v/>
      </c>
      <c r="G49" s="11">
        <f>SUMPRODUCT(($A$2:$A$239=A49)*($B$2:$B$239=B49)*($D$2:$D$239&gt;D49))+1</f>
        <v/>
      </c>
      <c r="H49" s="11">
        <f>SUMPRODUCT(($A$2:$A$239=A49)*($D$2:$D$239&gt;D49))+1</f>
        <v/>
      </c>
    </row>
    <row r="50">
      <c r="A50" s="7" t="inlineStr">
        <is>
          <t>Simulado 01</t>
        </is>
      </c>
      <c r="B50" s="7" t="inlineStr">
        <is>
          <t>7ª Fase</t>
        </is>
      </c>
      <c r="C50" s="7" t="inlineStr">
        <is>
          <t>Kaylaine Rodrigues Almeida Andrade</t>
        </is>
      </c>
      <c r="D50" s="8" t="n">
        <v>23</v>
      </c>
      <c r="E50" s="8" t="n">
        <v>39</v>
      </c>
      <c r="F50" s="9">
        <f>IF(E50=0,"",D50/E50)</f>
        <v/>
      </c>
      <c r="G50" s="8">
        <f>SUMPRODUCT(($A$2:$A$239=A50)*($B$2:$B$239=B50)*($D$2:$D$239&gt;D50))+1</f>
        <v/>
      </c>
      <c r="H50" s="8">
        <f>SUMPRODUCT(($A$2:$A$239=A50)*($D$2:$D$239&gt;D50))+1</f>
        <v/>
      </c>
    </row>
    <row r="51">
      <c r="A51" s="10" t="inlineStr">
        <is>
          <t>Simulado 01</t>
        </is>
      </c>
      <c r="B51" s="10" t="inlineStr">
        <is>
          <t>7ª Fase</t>
        </is>
      </c>
      <c r="C51" s="10" t="inlineStr">
        <is>
          <t>Leandro Iomes de Souza</t>
        </is>
      </c>
      <c r="D51" s="11" t="n">
        <v>22</v>
      </c>
      <c r="E51" s="11" t="n">
        <v>39</v>
      </c>
      <c r="F51" s="12">
        <f>IF(E51=0,"",D51/E51)</f>
        <v/>
      </c>
      <c r="G51" s="11">
        <f>SUMPRODUCT(($A$2:$A$239=A51)*($B$2:$B$239=B51)*($D$2:$D$239&gt;D51))+1</f>
        <v/>
      </c>
      <c r="H51" s="11">
        <f>SUMPRODUCT(($A$2:$A$239=A51)*($D$2:$D$239&gt;D51))+1</f>
        <v/>
      </c>
    </row>
    <row r="52">
      <c r="A52" s="7" t="inlineStr">
        <is>
          <t>Simulado 01</t>
        </is>
      </c>
      <c r="B52" s="7" t="inlineStr">
        <is>
          <t>7ª Fase</t>
        </is>
      </c>
      <c r="C52" s="7" t="inlineStr">
        <is>
          <t>Luísa Fronza Gomes</t>
        </is>
      </c>
      <c r="D52" s="8" t="n">
        <v>20</v>
      </c>
      <c r="E52" s="8" t="n">
        <v>39</v>
      </c>
      <c r="F52" s="9">
        <f>IF(E52=0,"",D52/E52)</f>
        <v/>
      </c>
      <c r="G52" s="8">
        <f>SUMPRODUCT(($A$2:$A$239=A52)*($B$2:$B$239=B52)*($D$2:$D$239&gt;D52))+1</f>
        <v/>
      </c>
      <c r="H52" s="8">
        <f>SUMPRODUCT(($A$2:$A$239=A52)*($D$2:$D$239&gt;D52))+1</f>
        <v/>
      </c>
    </row>
    <row r="53">
      <c r="A53" s="10" t="inlineStr">
        <is>
          <t>Simulado 01</t>
        </is>
      </c>
      <c r="B53" s="10" t="inlineStr">
        <is>
          <t>7ª Fase</t>
        </is>
      </c>
      <c r="C53" s="10" t="inlineStr">
        <is>
          <t>Manuella Knop dos Passos</t>
        </is>
      </c>
      <c r="D53" s="11" t="n">
        <v>28</v>
      </c>
      <c r="E53" s="11" t="n">
        <v>39</v>
      </c>
      <c r="F53" s="12">
        <f>IF(E53=0,"",D53/E53)</f>
        <v/>
      </c>
      <c r="G53" s="11">
        <f>SUMPRODUCT(($A$2:$A$239=A53)*($B$2:$B$239=B53)*($D$2:$D$239&gt;D53))+1</f>
        <v/>
      </c>
      <c r="H53" s="11">
        <f>SUMPRODUCT(($A$2:$A$239=A53)*($D$2:$D$239&gt;D53))+1</f>
        <v/>
      </c>
    </row>
    <row r="54">
      <c r="A54" s="7" t="inlineStr">
        <is>
          <t>Simulado 01</t>
        </is>
      </c>
      <c r="B54" s="7" t="inlineStr">
        <is>
          <t>7ª Fase</t>
        </is>
      </c>
      <c r="C54" s="7" t="inlineStr">
        <is>
          <t>Maria Luísa Ceolin Xavier da Silveira</t>
        </is>
      </c>
      <c r="D54" s="8" t="n">
        <v>30</v>
      </c>
      <c r="E54" s="8" t="n">
        <v>39</v>
      </c>
      <c r="F54" s="9">
        <f>IF(E54=0,"",D54/E54)</f>
        <v/>
      </c>
      <c r="G54" s="8">
        <f>SUMPRODUCT(($A$2:$A$239=A54)*($B$2:$B$239=B54)*($D$2:$D$239&gt;D54))+1</f>
        <v/>
      </c>
      <c r="H54" s="8">
        <f>SUMPRODUCT(($A$2:$A$239=A54)*($D$2:$D$239&gt;D54))+1</f>
        <v/>
      </c>
    </row>
    <row r="55">
      <c r="A55" s="10" t="inlineStr">
        <is>
          <t>Simulado 01</t>
        </is>
      </c>
      <c r="B55" s="10" t="inlineStr">
        <is>
          <t>7ª Fase</t>
        </is>
      </c>
      <c r="C55" s="10" t="inlineStr">
        <is>
          <t>Milena Ferreira de Souza</t>
        </is>
      </c>
      <c r="D55" s="11" t="n">
        <v>24</v>
      </c>
      <c r="E55" s="11" t="n">
        <v>39</v>
      </c>
      <c r="F55" s="12">
        <f>IF(E55=0,"",D55/E55)</f>
        <v/>
      </c>
      <c r="G55" s="11">
        <f>SUMPRODUCT(($A$2:$A$239=A55)*($B$2:$B$239=B55)*($D$2:$D$239&gt;D55))+1</f>
        <v/>
      </c>
      <c r="H55" s="11">
        <f>SUMPRODUCT(($A$2:$A$239=A55)*($D$2:$D$239&gt;D55))+1</f>
        <v/>
      </c>
    </row>
    <row r="56">
      <c r="A56" s="7" t="inlineStr">
        <is>
          <t>Simulado 01</t>
        </is>
      </c>
      <c r="B56" s="7" t="inlineStr">
        <is>
          <t>7ª Fase</t>
        </is>
      </c>
      <c r="C56" s="7" t="inlineStr">
        <is>
          <t>Milena Goedert</t>
        </is>
      </c>
      <c r="D56" s="8" t="n">
        <v>23</v>
      </c>
      <c r="E56" s="8" t="n">
        <v>39</v>
      </c>
      <c r="F56" s="9">
        <f>IF(E56=0,"",D56/E56)</f>
        <v/>
      </c>
      <c r="G56" s="8">
        <f>SUMPRODUCT(($A$2:$A$239=A56)*($B$2:$B$239=B56)*($D$2:$D$239&gt;D56))+1</f>
        <v/>
      </c>
      <c r="H56" s="8">
        <f>SUMPRODUCT(($A$2:$A$239=A56)*($D$2:$D$239&gt;D56))+1</f>
        <v/>
      </c>
    </row>
    <row r="57">
      <c r="A57" s="10" t="inlineStr">
        <is>
          <t>Simulado 01</t>
        </is>
      </c>
      <c r="B57" s="10" t="inlineStr">
        <is>
          <t>7ª Fase</t>
        </is>
      </c>
      <c r="C57" s="10" t="inlineStr">
        <is>
          <t>Millena Laurindo</t>
        </is>
      </c>
      <c r="D57" s="11" t="n">
        <v>26</v>
      </c>
      <c r="E57" s="11" t="n">
        <v>39</v>
      </c>
      <c r="F57" s="12">
        <f>IF(E57=0,"",D57/E57)</f>
        <v/>
      </c>
      <c r="G57" s="11">
        <f>SUMPRODUCT(($A$2:$A$239=A57)*($B$2:$B$239=B57)*($D$2:$D$239&gt;D57))+1</f>
        <v/>
      </c>
      <c r="H57" s="11">
        <f>SUMPRODUCT(($A$2:$A$239=A57)*($D$2:$D$239&gt;D57))+1</f>
        <v/>
      </c>
    </row>
    <row r="58">
      <c r="A58" s="7" t="inlineStr">
        <is>
          <t>Simulado 01</t>
        </is>
      </c>
      <c r="B58" s="7" t="inlineStr">
        <is>
          <t>7ª Fase</t>
        </is>
      </c>
      <c r="C58" s="7" t="inlineStr">
        <is>
          <t>Rodrigo Voigt Filho</t>
        </is>
      </c>
      <c r="D58" s="8" t="n">
        <v>28</v>
      </c>
      <c r="E58" s="8" t="n">
        <v>39</v>
      </c>
      <c r="F58" s="9">
        <f>IF(E58=0,"",D58/E58)</f>
        <v/>
      </c>
      <c r="G58" s="8">
        <f>SUMPRODUCT(($A$2:$A$239=A58)*($B$2:$B$239=B58)*($D$2:$D$239&gt;D58))+1</f>
        <v/>
      </c>
      <c r="H58" s="8">
        <f>SUMPRODUCT(($A$2:$A$239=A58)*($D$2:$D$239&gt;D58))+1</f>
        <v/>
      </c>
    </row>
    <row r="59">
      <c r="A59" s="10" t="inlineStr">
        <is>
          <t>Simulado 01</t>
        </is>
      </c>
      <c r="B59" s="10" t="inlineStr">
        <is>
          <t>7ª Fase</t>
        </is>
      </c>
      <c r="C59" s="10" t="inlineStr">
        <is>
          <t>Sofia Venturi</t>
        </is>
      </c>
      <c r="D59" s="11" t="n">
        <v>25</v>
      </c>
      <c r="E59" s="11" t="n">
        <v>39</v>
      </c>
      <c r="F59" s="12">
        <f>IF(E59=0,"",D59/E59)</f>
        <v/>
      </c>
      <c r="G59" s="11">
        <f>SUMPRODUCT(($A$2:$A$239=A59)*($B$2:$B$239=B59)*($D$2:$D$239&gt;D59))+1</f>
        <v/>
      </c>
      <c r="H59" s="11">
        <f>SUMPRODUCT(($A$2:$A$239=A59)*($D$2:$D$239&gt;D59))+1</f>
        <v/>
      </c>
    </row>
    <row r="60">
      <c r="A60" s="7" t="inlineStr">
        <is>
          <t>Simulado 01</t>
        </is>
      </c>
      <c r="B60" s="7" t="inlineStr">
        <is>
          <t>7ª Fase</t>
        </is>
      </c>
      <c r="C60" s="7" t="inlineStr">
        <is>
          <t>Suelen Dias Clasen</t>
        </is>
      </c>
      <c r="D60" s="8" t="n">
        <v>29</v>
      </c>
      <c r="E60" s="8" t="n">
        <v>39</v>
      </c>
      <c r="F60" s="9">
        <f>IF(E60=0,"",D60/E60)</f>
        <v/>
      </c>
      <c r="G60" s="8">
        <f>SUMPRODUCT(($A$2:$A$239=A60)*($B$2:$B$239=B60)*($D$2:$D$239&gt;D60))+1</f>
        <v/>
      </c>
      <c r="H60" s="8">
        <f>SUMPRODUCT(($A$2:$A$239=A60)*($D$2:$D$239&gt;D60))+1</f>
        <v/>
      </c>
    </row>
    <row r="61">
      <c r="A61" s="10" t="inlineStr">
        <is>
          <t>Simulado 01</t>
        </is>
      </c>
      <c r="B61" s="10" t="inlineStr">
        <is>
          <t>7ª Fase</t>
        </is>
      </c>
      <c r="C61" s="10" t="inlineStr">
        <is>
          <t>Victória Gabriela Wetzstein</t>
        </is>
      </c>
      <c r="D61" s="11" t="n">
        <v>22</v>
      </c>
      <c r="E61" s="11" t="n">
        <v>39</v>
      </c>
      <c r="F61" s="12">
        <f>IF(E61=0,"",D61/E61)</f>
        <v/>
      </c>
      <c r="G61" s="11">
        <f>SUMPRODUCT(($A$2:$A$239=A61)*($B$2:$B$239=B61)*($D$2:$D$239&gt;D61))+1</f>
        <v/>
      </c>
      <c r="H61" s="11">
        <f>SUMPRODUCT(($A$2:$A$239=A61)*($D$2:$D$239&gt;D61))+1</f>
        <v/>
      </c>
    </row>
    <row r="62">
      <c r="A62" s="7" t="inlineStr">
        <is>
          <t>Simulado 01</t>
        </is>
      </c>
      <c r="B62" s="7" t="inlineStr">
        <is>
          <t>10ª Fase</t>
        </is>
      </c>
      <c r="C62" s="7" t="inlineStr">
        <is>
          <t>Aline Agostini</t>
        </is>
      </c>
      <c r="D62" s="8" t="n">
        <v>27</v>
      </c>
      <c r="E62" s="8" t="n">
        <v>39</v>
      </c>
      <c r="F62" s="9">
        <f>IF(E62=0,"",D62/E62)</f>
        <v/>
      </c>
      <c r="G62" s="8">
        <f>SUMPRODUCT(($A$2:$A$239=A62)*($B$2:$B$239=B62)*($D$2:$D$239&gt;D62))+1</f>
        <v/>
      </c>
      <c r="H62" s="8">
        <f>SUMPRODUCT(($A$2:$A$239=A62)*($D$2:$D$239&gt;D62))+1</f>
        <v/>
      </c>
    </row>
    <row r="63">
      <c r="A63" s="10" t="inlineStr">
        <is>
          <t>Simulado 01</t>
        </is>
      </c>
      <c r="B63" s="10" t="inlineStr">
        <is>
          <t>10ª Fase</t>
        </is>
      </c>
      <c r="C63" s="10" t="inlineStr">
        <is>
          <t>Brenda Cristina Albino</t>
        </is>
      </c>
      <c r="D63" s="11" t="n">
        <v>28</v>
      </c>
      <c r="E63" s="11" t="n">
        <v>39</v>
      </c>
      <c r="F63" s="12">
        <f>IF(E63=0,"",D63/E63)</f>
        <v/>
      </c>
      <c r="G63" s="11">
        <f>SUMPRODUCT(($A$2:$A$239=A63)*($B$2:$B$239=B63)*($D$2:$D$239&gt;D63))+1</f>
        <v/>
      </c>
      <c r="H63" s="11">
        <f>SUMPRODUCT(($A$2:$A$239=A63)*($D$2:$D$239&gt;D63))+1</f>
        <v/>
      </c>
    </row>
    <row r="64">
      <c r="A64" s="7" t="inlineStr">
        <is>
          <t>Simulado 01</t>
        </is>
      </c>
      <c r="B64" s="7" t="inlineStr">
        <is>
          <t>10ª Fase</t>
        </is>
      </c>
      <c r="C64" s="7" t="inlineStr">
        <is>
          <t>Camila Cabral de Souza</t>
        </is>
      </c>
      <c r="D64" s="8" t="n">
        <v>22</v>
      </c>
      <c r="E64" s="8" t="n">
        <v>39</v>
      </c>
      <c r="F64" s="9">
        <f>IF(E64=0,"",D64/E64)</f>
        <v/>
      </c>
      <c r="G64" s="8">
        <f>SUMPRODUCT(($A$2:$A$239=A64)*($B$2:$B$239=B64)*($D$2:$D$239&gt;D64))+1</f>
        <v/>
      </c>
      <c r="H64" s="8">
        <f>SUMPRODUCT(($A$2:$A$239=A64)*($D$2:$D$239&gt;D64))+1</f>
        <v/>
      </c>
    </row>
    <row r="65">
      <c r="A65" s="10" t="inlineStr">
        <is>
          <t>Simulado 01</t>
        </is>
      </c>
      <c r="B65" s="10" t="inlineStr">
        <is>
          <t>10ª Fase</t>
        </is>
      </c>
      <c r="C65" s="10" t="inlineStr">
        <is>
          <t>Camila Debatin</t>
        </is>
      </c>
      <c r="D65" s="11" t="n">
        <v>23</v>
      </c>
      <c r="E65" s="11" t="n">
        <v>39</v>
      </c>
      <c r="F65" s="12">
        <f>IF(E65=0,"",D65/E65)</f>
        <v/>
      </c>
      <c r="G65" s="11">
        <f>SUMPRODUCT(($A$2:$A$239=A65)*($B$2:$B$239=B65)*($D$2:$D$239&gt;D65))+1</f>
        <v/>
      </c>
      <c r="H65" s="11">
        <f>SUMPRODUCT(($A$2:$A$239=A65)*($D$2:$D$239&gt;D65))+1</f>
        <v/>
      </c>
    </row>
    <row r="66">
      <c r="A66" s="7" t="inlineStr">
        <is>
          <t>Simulado 01</t>
        </is>
      </c>
      <c r="B66" s="7" t="inlineStr">
        <is>
          <t>10ª Fase</t>
        </is>
      </c>
      <c r="C66" s="7" t="inlineStr">
        <is>
          <t>Daniely Aparecida Steinheisen</t>
        </is>
      </c>
      <c r="D66" s="8" t="n">
        <v>27</v>
      </c>
      <c r="E66" s="8" t="n">
        <v>39</v>
      </c>
      <c r="F66" s="9">
        <f>IF(E66=0,"",D66/E66)</f>
        <v/>
      </c>
      <c r="G66" s="8">
        <f>SUMPRODUCT(($A$2:$A$239=A66)*($B$2:$B$239=B66)*($D$2:$D$239&gt;D66))+1</f>
        <v/>
      </c>
      <c r="H66" s="8">
        <f>SUMPRODUCT(($A$2:$A$239=A66)*($D$2:$D$239&gt;D66))+1</f>
        <v/>
      </c>
    </row>
    <row r="67">
      <c r="A67" s="10" t="inlineStr">
        <is>
          <t>Simulado 01</t>
        </is>
      </c>
      <c r="B67" s="10" t="inlineStr">
        <is>
          <t>10ª Fase</t>
        </is>
      </c>
      <c r="C67" s="10" t="inlineStr">
        <is>
          <t>Eduardo Miguel Panizzon</t>
        </is>
      </c>
      <c r="D67" s="11" t="n">
        <v>26</v>
      </c>
      <c r="E67" s="11" t="n">
        <v>39</v>
      </c>
      <c r="F67" s="12">
        <f>IF(E67=0,"",D67/E67)</f>
        <v/>
      </c>
      <c r="G67" s="11">
        <f>SUMPRODUCT(($A$2:$A$239=A67)*($B$2:$B$239=B67)*($D$2:$D$239&gt;D67))+1</f>
        <v/>
      </c>
      <c r="H67" s="11">
        <f>SUMPRODUCT(($A$2:$A$239=A67)*($D$2:$D$239&gt;D67))+1</f>
        <v/>
      </c>
    </row>
    <row r="68">
      <c r="A68" s="7" t="inlineStr">
        <is>
          <t>Simulado 01</t>
        </is>
      </c>
      <c r="B68" s="7" t="inlineStr">
        <is>
          <t>10ª Fase</t>
        </is>
      </c>
      <c r="C68" s="7" t="inlineStr">
        <is>
          <t>Émerson Roberto Bratz</t>
        </is>
      </c>
      <c r="D68" s="8" t="n">
        <v>25</v>
      </c>
      <c r="E68" s="8" t="n">
        <v>39</v>
      </c>
      <c r="F68" s="9">
        <f>IF(E68=0,"",D68/E68)</f>
        <v/>
      </c>
      <c r="G68" s="8">
        <f>SUMPRODUCT(($A$2:$A$239=A68)*($B$2:$B$239=B68)*($D$2:$D$239&gt;D68))+1</f>
        <v/>
      </c>
      <c r="H68" s="8">
        <f>SUMPRODUCT(($A$2:$A$239=A68)*($D$2:$D$239&gt;D68))+1</f>
        <v/>
      </c>
    </row>
    <row r="69">
      <c r="A69" s="10" t="inlineStr">
        <is>
          <t>Simulado 01</t>
        </is>
      </c>
      <c r="B69" s="10" t="inlineStr">
        <is>
          <t>10ª Fase</t>
        </is>
      </c>
      <c r="C69" s="10" t="inlineStr">
        <is>
          <t>Gabriel Olivo Leandro</t>
        </is>
      </c>
      <c r="D69" s="11" t="n">
        <v>26</v>
      </c>
      <c r="E69" s="11" t="n">
        <v>39</v>
      </c>
      <c r="F69" s="12">
        <f>IF(E69=0,"",D69/E69)</f>
        <v/>
      </c>
      <c r="G69" s="11">
        <f>SUMPRODUCT(($A$2:$A$239=A69)*($B$2:$B$239=B69)*($D$2:$D$239&gt;D69))+1</f>
        <v/>
      </c>
      <c r="H69" s="11">
        <f>SUMPRODUCT(($A$2:$A$239=A69)*($D$2:$D$239&gt;D69))+1</f>
        <v/>
      </c>
    </row>
    <row r="70">
      <c r="A70" s="7" t="inlineStr">
        <is>
          <t>Simulado 01</t>
        </is>
      </c>
      <c r="B70" s="7" t="inlineStr">
        <is>
          <t>10ª Fase</t>
        </is>
      </c>
      <c r="C70" s="7" t="inlineStr">
        <is>
          <t>Isadora Ceregatti Correia</t>
        </is>
      </c>
      <c r="D70" s="8" t="n">
        <v>24</v>
      </c>
      <c r="E70" s="8" t="n">
        <v>39</v>
      </c>
      <c r="F70" s="9">
        <f>IF(E70=0,"",D70/E70)</f>
        <v/>
      </c>
      <c r="G70" s="8">
        <f>SUMPRODUCT(($A$2:$A$239=A70)*($B$2:$B$239=B70)*($D$2:$D$239&gt;D70))+1</f>
        <v/>
      </c>
      <c r="H70" s="8">
        <f>SUMPRODUCT(($A$2:$A$239=A70)*($D$2:$D$239&gt;D70))+1</f>
        <v/>
      </c>
    </row>
    <row r="71">
      <c r="A71" s="10" t="inlineStr">
        <is>
          <t>Simulado 01</t>
        </is>
      </c>
      <c r="B71" s="10" t="inlineStr">
        <is>
          <t>10ª Fase</t>
        </is>
      </c>
      <c r="C71" s="10" t="inlineStr">
        <is>
          <t>Isadora Faedo Thives</t>
        </is>
      </c>
      <c r="D71" s="11" t="n">
        <v>23</v>
      </c>
      <c r="E71" s="11" t="n">
        <v>39</v>
      </c>
      <c r="F71" s="12">
        <f>IF(E71=0,"",D71/E71)</f>
        <v/>
      </c>
      <c r="G71" s="11">
        <f>SUMPRODUCT(($A$2:$A$239=A71)*($B$2:$B$239=B71)*($D$2:$D$239&gt;D71))+1</f>
        <v/>
      </c>
      <c r="H71" s="11">
        <f>SUMPRODUCT(($A$2:$A$239=A71)*($D$2:$D$239&gt;D71))+1</f>
        <v/>
      </c>
    </row>
    <row r="72">
      <c r="A72" s="7" t="inlineStr">
        <is>
          <t>Simulado 01</t>
        </is>
      </c>
      <c r="B72" s="7" t="inlineStr">
        <is>
          <t>10ª Fase</t>
        </is>
      </c>
      <c r="C72" s="7" t="inlineStr">
        <is>
          <t>Isadora Gonçalves</t>
        </is>
      </c>
      <c r="D72" s="8" t="n">
        <v>26</v>
      </c>
      <c r="E72" s="8" t="n">
        <v>39</v>
      </c>
      <c r="F72" s="9">
        <f>IF(E72=0,"",D72/E72)</f>
        <v/>
      </c>
      <c r="G72" s="8">
        <f>SUMPRODUCT(($A$2:$A$239=A72)*($B$2:$B$239=B72)*($D$2:$D$239&gt;D72))+1</f>
        <v/>
      </c>
      <c r="H72" s="8">
        <f>SUMPRODUCT(($A$2:$A$239=A72)*($D$2:$D$239&gt;D72))+1</f>
        <v/>
      </c>
    </row>
    <row r="73">
      <c r="A73" s="10" t="inlineStr">
        <is>
          <t>Simulado 01</t>
        </is>
      </c>
      <c r="B73" s="10" t="inlineStr">
        <is>
          <t>10ª Fase</t>
        </is>
      </c>
      <c r="C73" s="10" t="inlineStr">
        <is>
          <t>Júlia Cremonini Bernardi</t>
        </is>
      </c>
      <c r="D73" s="11" t="n">
        <v>22</v>
      </c>
      <c r="E73" s="11" t="n">
        <v>39</v>
      </c>
      <c r="F73" s="12">
        <f>IF(E73=0,"",D73/E73)</f>
        <v/>
      </c>
      <c r="G73" s="11">
        <f>SUMPRODUCT(($A$2:$A$239=A73)*($B$2:$B$239=B73)*($D$2:$D$239&gt;D73))+1</f>
        <v/>
      </c>
      <c r="H73" s="11">
        <f>SUMPRODUCT(($A$2:$A$239=A73)*($D$2:$D$239&gt;D73))+1</f>
        <v/>
      </c>
    </row>
    <row r="74">
      <c r="A74" s="7" t="inlineStr">
        <is>
          <t>Simulado 01</t>
        </is>
      </c>
      <c r="B74" s="7" t="inlineStr">
        <is>
          <t>10ª Fase</t>
        </is>
      </c>
      <c r="C74" s="7" t="inlineStr">
        <is>
          <t>Julya Lemos de Moraes</t>
        </is>
      </c>
      <c r="D74" s="8" t="n">
        <v>24</v>
      </c>
      <c r="E74" s="8" t="n">
        <v>39</v>
      </c>
      <c r="F74" s="9">
        <f>IF(E74=0,"",D74/E74)</f>
        <v/>
      </c>
      <c r="G74" s="8">
        <f>SUMPRODUCT(($A$2:$A$239=A74)*($B$2:$B$239=B74)*($D$2:$D$239&gt;D74))+1</f>
        <v/>
      </c>
      <c r="H74" s="8">
        <f>SUMPRODUCT(($A$2:$A$239=A74)*($D$2:$D$239&gt;D74))+1</f>
        <v/>
      </c>
    </row>
    <row r="75">
      <c r="A75" s="10" t="inlineStr">
        <is>
          <t>Simulado 01</t>
        </is>
      </c>
      <c r="B75" s="10" t="inlineStr">
        <is>
          <t>10ª Fase</t>
        </is>
      </c>
      <c r="C75" s="10" t="inlineStr">
        <is>
          <t>Kerollin Waltrick da Silva</t>
        </is>
      </c>
      <c r="D75" s="11" t="n">
        <v>21</v>
      </c>
      <c r="E75" s="11" t="n">
        <v>39</v>
      </c>
      <c r="F75" s="12">
        <f>IF(E75=0,"",D75/E75)</f>
        <v/>
      </c>
      <c r="G75" s="11">
        <f>SUMPRODUCT(($A$2:$A$239=A75)*($B$2:$B$239=B75)*($D$2:$D$239&gt;D75))+1</f>
        <v/>
      </c>
      <c r="H75" s="11">
        <f>SUMPRODUCT(($A$2:$A$239=A75)*($D$2:$D$239&gt;D75))+1</f>
        <v/>
      </c>
    </row>
    <row r="76">
      <c r="A76" s="7" t="inlineStr">
        <is>
          <t>Simulado 01</t>
        </is>
      </c>
      <c r="B76" s="7" t="inlineStr">
        <is>
          <t>10ª Fase</t>
        </is>
      </c>
      <c r="C76" s="7" t="inlineStr">
        <is>
          <t>Livia Luersen Sousa</t>
        </is>
      </c>
      <c r="D76" s="8" t="n">
        <v>24</v>
      </c>
      <c r="E76" s="8" t="n">
        <v>39</v>
      </c>
      <c r="F76" s="9">
        <f>IF(E76=0,"",D76/E76)</f>
        <v/>
      </c>
      <c r="G76" s="8">
        <f>SUMPRODUCT(($A$2:$A$239=A76)*($B$2:$B$239=B76)*($D$2:$D$239&gt;D76))+1</f>
        <v/>
      </c>
      <c r="H76" s="8">
        <f>SUMPRODUCT(($A$2:$A$239=A76)*($D$2:$D$239&gt;D76))+1</f>
        <v/>
      </c>
    </row>
    <row r="77">
      <c r="A77" s="10" t="inlineStr">
        <is>
          <t>Simulado 01</t>
        </is>
      </c>
      <c r="B77" s="10" t="inlineStr">
        <is>
          <t>10ª Fase</t>
        </is>
      </c>
      <c r="C77" s="10" t="inlineStr">
        <is>
          <t>Luana Zytkoski Zanon</t>
        </is>
      </c>
      <c r="D77" s="11" t="n">
        <v>26</v>
      </c>
      <c r="E77" s="11" t="n">
        <v>39</v>
      </c>
      <c r="F77" s="12">
        <f>IF(E77=0,"",D77/E77)</f>
        <v/>
      </c>
      <c r="G77" s="11">
        <f>SUMPRODUCT(($A$2:$A$239=A77)*($B$2:$B$239=B77)*($D$2:$D$239&gt;D77))+1</f>
        <v/>
      </c>
      <c r="H77" s="11">
        <f>SUMPRODUCT(($A$2:$A$239=A77)*($D$2:$D$239&gt;D77))+1</f>
        <v/>
      </c>
    </row>
    <row r="78">
      <c r="A78" s="7" t="inlineStr">
        <is>
          <t>Simulado 01</t>
        </is>
      </c>
      <c r="B78" s="7" t="inlineStr">
        <is>
          <t>10ª Fase</t>
        </is>
      </c>
      <c r="C78" s="7" t="inlineStr">
        <is>
          <t>Lucas Eduardo dos Santos Viana</t>
        </is>
      </c>
      <c r="D78" s="8" t="n">
        <v>24</v>
      </c>
      <c r="E78" s="8" t="n">
        <v>39</v>
      </c>
      <c r="F78" s="9">
        <f>IF(E78=0,"",D78/E78)</f>
        <v/>
      </c>
      <c r="G78" s="8">
        <f>SUMPRODUCT(($A$2:$A$239=A78)*($B$2:$B$239=B78)*($D$2:$D$239&gt;D78))+1</f>
        <v/>
      </c>
      <c r="H78" s="8">
        <f>SUMPRODUCT(($A$2:$A$239=A78)*($D$2:$D$239&gt;D78))+1</f>
        <v/>
      </c>
    </row>
    <row r="79">
      <c r="A79" s="10" t="inlineStr">
        <is>
          <t>Simulado 01</t>
        </is>
      </c>
      <c r="B79" s="10" t="inlineStr">
        <is>
          <t>10ª Fase</t>
        </is>
      </c>
      <c r="C79" s="10" t="inlineStr">
        <is>
          <t>Luis Eduardo Bigolin Folador</t>
        </is>
      </c>
      <c r="D79" s="11" t="n">
        <v>25</v>
      </c>
      <c r="E79" s="11" t="n">
        <v>39</v>
      </c>
      <c r="F79" s="12">
        <f>IF(E79=0,"",D79/E79)</f>
        <v/>
      </c>
      <c r="G79" s="11">
        <f>SUMPRODUCT(($A$2:$A$239=A79)*($B$2:$B$239=B79)*($D$2:$D$239&gt;D79))+1</f>
        <v/>
      </c>
      <c r="H79" s="11">
        <f>SUMPRODUCT(($A$2:$A$239=A79)*($D$2:$D$239&gt;D79))+1</f>
        <v/>
      </c>
    </row>
    <row r="80">
      <c r="A80" s="7" t="inlineStr">
        <is>
          <t>Simulado 01</t>
        </is>
      </c>
      <c r="B80" s="7" t="inlineStr">
        <is>
          <t>10ª Fase</t>
        </is>
      </c>
      <c r="C80" s="7" t="inlineStr">
        <is>
          <t>Luisa Cristina Matê</t>
        </is>
      </c>
      <c r="D80" s="8" t="n">
        <v>27</v>
      </c>
      <c r="E80" s="8" t="n">
        <v>39</v>
      </c>
      <c r="F80" s="9">
        <f>IF(E80=0,"",D80/E80)</f>
        <v/>
      </c>
      <c r="G80" s="8">
        <f>SUMPRODUCT(($A$2:$A$239=A80)*($B$2:$B$239=B80)*($D$2:$D$239&gt;D80))+1</f>
        <v/>
      </c>
      <c r="H80" s="8">
        <f>SUMPRODUCT(($A$2:$A$239=A80)*($D$2:$D$239&gt;D80))+1</f>
        <v/>
      </c>
    </row>
    <row r="81">
      <c r="A81" s="10" t="inlineStr">
        <is>
          <t>Simulado 01</t>
        </is>
      </c>
      <c r="B81" s="10" t="inlineStr">
        <is>
          <t>10ª Fase</t>
        </is>
      </c>
      <c r="C81" s="10" t="inlineStr">
        <is>
          <t>Maria Eduarda Medeiros Machado</t>
        </is>
      </c>
      <c r="D81" s="11" t="n">
        <v>26</v>
      </c>
      <c r="E81" s="11" t="n">
        <v>39</v>
      </c>
      <c r="F81" s="12">
        <f>IF(E81=0,"",D81/E81)</f>
        <v/>
      </c>
      <c r="G81" s="11">
        <f>SUMPRODUCT(($A$2:$A$239=A81)*($B$2:$B$239=B81)*($D$2:$D$239&gt;D81))+1</f>
        <v/>
      </c>
      <c r="H81" s="11">
        <f>SUMPRODUCT(($A$2:$A$239=A81)*($D$2:$D$239&gt;D81))+1</f>
        <v/>
      </c>
    </row>
    <row r="82">
      <c r="A82" s="7" t="inlineStr">
        <is>
          <t>Simulado 01</t>
        </is>
      </c>
      <c r="B82" s="7" t="inlineStr">
        <is>
          <t>10ª Fase</t>
        </is>
      </c>
      <c r="C82" s="7" t="inlineStr">
        <is>
          <t>Maria Eduarda Molinari</t>
        </is>
      </c>
      <c r="D82" s="8" t="n">
        <v>25</v>
      </c>
      <c r="E82" s="8" t="n">
        <v>39</v>
      </c>
      <c r="F82" s="9">
        <f>IF(E82=0,"",D82/E82)</f>
        <v/>
      </c>
      <c r="G82" s="8">
        <f>SUMPRODUCT(($A$2:$A$239=A82)*($B$2:$B$239=B82)*($D$2:$D$239&gt;D82))+1</f>
        <v/>
      </c>
      <c r="H82" s="8">
        <f>SUMPRODUCT(($A$2:$A$239=A82)*($D$2:$D$239&gt;D82))+1</f>
        <v/>
      </c>
    </row>
    <row r="83">
      <c r="A83" s="10" t="inlineStr">
        <is>
          <t>Simulado 01</t>
        </is>
      </c>
      <c r="B83" s="10" t="inlineStr">
        <is>
          <t>10ª Fase</t>
        </is>
      </c>
      <c r="C83" s="10" t="inlineStr">
        <is>
          <t>Mariana Braatz Fagundes</t>
        </is>
      </c>
      <c r="D83" s="11" t="n">
        <v>17</v>
      </c>
      <c r="E83" s="11" t="n">
        <v>39</v>
      </c>
      <c r="F83" s="12">
        <f>IF(E83=0,"",D83/E83)</f>
        <v/>
      </c>
      <c r="G83" s="11">
        <f>SUMPRODUCT(($A$2:$A$239=A83)*($B$2:$B$239=B83)*($D$2:$D$239&gt;D83))+1</f>
        <v/>
      </c>
      <c r="H83" s="11">
        <f>SUMPRODUCT(($A$2:$A$239=A83)*($D$2:$D$239&gt;D83))+1</f>
        <v/>
      </c>
    </row>
    <row r="84">
      <c r="A84" s="7" t="inlineStr">
        <is>
          <t>Simulado 01</t>
        </is>
      </c>
      <c r="B84" s="7" t="inlineStr">
        <is>
          <t>10ª Fase</t>
        </is>
      </c>
      <c r="C84" s="7" t="inlineStr">
        <is>
          <t>Marieva Niehues Anderle</t>
        </is>
      </c>
      <c r="D84" s="8" t="n">
        <v>20</v>
      </c>
      <c r="E84" s="8" t="n">
        <v>39</v>
      </c>
      <c r="F84" s="9">
        <f>IF(E84=0,"",D84/E84)</f>
        <v/>
      </c>
      <c r="G84" s="8">
        <f>SUMPRODUCT(($A$2:$A$239=A84)*($B$2:$B$239=B84)*($D$2:$D$239&gt;D84))+1</f>
        <v/>
      </c>
      <c r="H84" s="8">
        <f>SUMPRODUCT(($A$2:$A$239=A84)*($D$2:$D$239&gt;D84))+1</f>
        <v/>
      </c>
    </row>
    <row r="85">
      <c r="A85" s="10" t="inlineStr">
        <is>
          <t>Simulado 01</t>
        </is>
      </c>
      <c r="B85" s="10" t="inlineStr">
        <is>
          <t>10ª Fase</t>
        </is>
      </c>
      <c r="C85" s="10" t="inlineStr">
        <is>
          <t>Matheus Lazzarin Gramazio</t>
        </is>
      </c>
      <c r="D85" s="11" t="n">
        <v>25</v>
      </c>
      <c r="E85" s="11" t="n">
        <v>39</v>
      </c>
      <c r="F85" s="12">
        <f>IF(E85=0,"",D85/E85)</f>
        <v/>
      </c>
      <c r="G85" s="11">
        <f>SUMPRODUCT(($A$2:$A$239=A85)*($B$2:$B$239=B85)*($D$2:$D$239&gt;D85))+1</f>
        <v/>
      </c>
      <c r="H85" s="11">
        <f>SUMPRODUCT(($A$2:$A$239=A85)*($D$2:$D$239&gt;D85))+1</f>
        <v/>
      </c>
    </row>
    <row r="86">
      <c r="A86" s="7" t="inlineStr">
        <is>
          <t>Simulado 01</t>
        </is>
      </c>
      <c r="B86" s="7" t="inlineStr">
        <is>
          <t>10ª Fase</t>
        </is>
      </c>
      <c r="C86" s="7" t="inlineStr">
        <is>
          <t>Matheus Schmidt Rossini</t>
        </is>
      </c>
      <c r="D86" s="8" t="n">
        <v>25</v>
      </c>
      <c r="E86" s="8" t="n">
        <v>39</v>
      </c>
      <c r="F86" s="9">
        <f>IF(E86=0,"",D86/E86)</f>
        <v/>
      </c>
      <c r="G86" s="8">
        <f>SUMPRODUCT(($A$2:$A$239=A86)*($B$2:$B$239=B86)*($D$2:$D$239&gt;D86))+1</f>
        <v/>
      </c>
      <c r="H86" s="8">
        <f>SUMPRODUCT(($A$2:$A$239=A86)*($D$2:$D$239&gt;D86))+1</f>
        <v/>
      </c>
    </row>
    <row r="87">
      <c r="A87" s="10" t="inlineStr">
        <is>
          <t>Simulado 01</t>
        </is>
      </c>
      <c r="B87" s="10" t="inlineStr">
        <is>
          <t>10ª Fase</t>
        </is>
      </c>
      <c r="C87" s="10" t="inlineStr">
        <is>
          <t>Milena Marchi Bonacolsi</t>
        </is>
      </c>
      <c r="D87" s="11" t="n">
        <v>25</v>
      </c>
      <c r="E87" s="11" t="n">
        <v>39</v>
      </c>
      <c r="F87" s="12">
        <f>IF(E87=0,"",D87/E87)</f>
        <v/>
      </c>
      <c r="G87" s="11">
        <f>SUMPRODUCT(($A$2:$A$239=A87)*($B$2:$B$239=B87)*($D$2:$D$239&gt;D87))+1</f>
        <v/>
      </c>
      <c r="H87" s="11">
        <f>SUMPRODUCT(($A$2:$A$239=A87)*($D$2:$D$239&gt;D87))+1</f>
        <v/>
      </c>
    </row>
    <row r="88">
      <c r="A88" s="7" t="inlineStr">
        <is>
          <t>Simulado 01</t>
        </is>
      </c>
      <c r="B88" s="7" t="inlineStr">
        <is>
          <t>10ª Fase</t>
        </is>
      </c>
      <c r="C88" s="7" t="inlineStr">
        <is>
          <t>Nicoly Fiorese Andrade</t>
        </is>
      </c>
      <c r="D88" s="8" t="n">
        <v>21</v>
      </c>
      <c r="E88" s="8" t="n">
        <v>39</v>
      </c>
      <c r="F88" s="9">
        <f>IF(E88=0,"",D88/E88)</f>
        <v/>
      </c>
      <c r="G88" s="8">
        <f>SUMPRODUCT(($A$2:$A$239=A88)*($B$2:$B$239=B88)*($D$2:$D$239&gt;D88))+1</f>
        <v/>
      </c>
      <c r="H88" s="8">
        <f>SUMPRODUCT(($A$2:$A$239=A88)*($D$2:$D$239&gt;D88))+1</f>
        <v/>
      </c>
    </row>
    <row r="89">
      <c r="A89" s="10" t="inlineStr">
        <is>
          <t>Simulado 01</t>
        </is>
      </c>
      <c r="B89" s="10" t="inlineStr">
        <is>
          <t>10ª Fase</t>
        </is>
      </c>
      <c r="C89" s="10" t="inlineStr">
        <is>
          <t>Sanny Machado</t>
        </is>
      </c>
      <c r="D89" s="11" t="n">
        <v>27</v>
      </c>
      <c r="E89" s="11" t="n">
        <v>39</v>
      </c>
      <c r="F89" s="12">
        <f>IF(E89=0,"",D89/E89)</f>
        <v/>
      </c>
      <c r="G89" s="11">
        <f>SUMPRODUCT(($A$2:$A$239=A89)*($B$2:$B$239=B89)*($D$2:$D$239&gt;D89))+1</f>
        <v/>
      </c>
      <c r="H89" s="11">
        <f>SUMPRODUCT(($A$2:$A$239=A89)*($D$2:$D$239&gt;D89))+1</f>
        <v/>
      </c>
    </row>
    <row r="90">
      <c r="A90" s="7" t="inlineStr">
        <is>
          <t>Simulado 01</t>
        </is>
      </c>
      <c r="B90" s="7" t="inlineStr">
        <is>
          <t>10ª Fase</t>
        </is>
      </c>
      <c r="C90" s="7" t="inlineStr">
        <is>
          <t>Sofia Boldrini</t>
        </is>
      </c>
      <c r="D90" s="8" t="n">
        <v>16</v>
      </c>
      <c r="E90" s="8" t="n">
        <v>39</v>
      </c>
      <c r="F90" s="9">
        <f>IF(E90=0,"",D90/E90)</f>
        <v/>
      </c>
      <c r="G90" s="8">
        <f>SUMPRODUCT(($A$2:$A$239=A90)*($B$2:$B$239=B90)*($D$2:$D$239&gt;D90))+1</f>
        <v/>
      </c>
      <c r="H90" s="8">
        <f>SUMPRODUCT(($A$2:$A$239=A90)*($D$2:$D$239&gt;D90))+1</f>
        <v/>
      </c>
    </row>
    <row r="91">
      <c r="A91" s="10" t="inlineStr">
        <is>
          <t>Simulado 01</t>
        </is>
      </c>
      <c r="B91" s="10" t="inlineStr">
        <is>
          <t>10ª Fase</t>
        </is>
      </c>
      <c r="C91" s="10" t="inlineStr">
        <is>
          <t>Tassiane Thaisi Thiesen</t>
        </is>
      </c>
      <c r="D91" s="11" t="n">
        <v>20</v>
      </c>
      <c r="E91" s="11" t="n">
        <v>39</v>
      </c>
      <c r="F91" s="12">
        <f>IF(E91=0,"",D91/E91)</f>
        <v/>
      </c>
      <c r="G91" s="11">
        <f>SUMPRODUCT(($A$2:$A$239=A91)*($B$2:$B$239=B91)*($D$2:$D$239&gt;D91))+1</f>
        <v/>
      </c>
      <c r="H91" s="11">
        <f>SUMPRODUCT(($A$2:$A$239=A91)*($D$2:$D$239&gt;D91))+1</f>
        <v/>
      </c>
    </row>
    <row r="92">
      <c r="A92" s="7" t="inlineStr">
        <is>
          <t>Simulado 01</t>
        </is>
      </c>
      <c r="B92" s="7" t="inlineStr">
        <is>
          <t>10ª Fase</t>
        </is>
      </c>
      <c r="C92" s="7" t="inlineStr">
        <is>
          <t>Yasmin Primel Paludo</t>
        </is>
      </c>
      <c r="D92" s="8" t="n">
        <v>26</v>
      </c>
      <c r="E92" s="8" t="n">
        <v>39</v>
      </c>
      <c r="F92" s="9">
        <f>IF(E92=0,"",D92/E92)</f>
        <v/>
      </c>
      <c r="G92" s="8">
        <f>SUMPRODUCT(($A$2:$A$239=A92)*($B$2:$B$239=B92)*($D$2:$D$239&gt;D92))+1</f>
        <v/>
      </c>
      <c r="H92" s="8">
        <f>SUMPRODUCT(($A$2:$A$239=A92)*($D$2:$D$239&gt;D92))+1</f>
        <v/>
      </c>
    </row>
    <row r="93">
      <c r="A93" s="10" t="inlineStr">
        <is>
          <t>Simulado 01</t>
        </is>
      </c>
      <c r="B93" s="10" t="inlineStr">
        <is>
          <t>11ª Fase</t>
        </is>
      </c>
      <c r="C93" s="10" t="inlineStr">
        <is>
          <t>Amanda Luisa Batista</t>
        </is>
      </c>
      <c r="D93" s="11" t="n">
        <v>29</v>
      </c>
      <c r="E93" s="11" t="n">
        <v>39</v>
      </c>
      <c r="F93" s="12">
        <f>IF(E93=0,"",D93/E93)</f>
        <v/>
      </c>
      <c r="G93" s="11">
        <f>SUMPRODUCT(($A$2:$A$239=A93)*($B$2:$B$239=B93)*($D$2:$D$239&gt;D93))+1</f>
        <v/>
      </c>
      <c r="H93" s="11">
        <f>SUMPRODUCT(($A$2:$A$239=A93)*($D$2:$D$239&gt;D93))+1</f>
        <v/>
      </c>
    </row>
    <row r="94">
      <c r="A94" s="7" t="inlineStr">
        <is>
          <t>Simulado 01</t>
        </is>
      </c>
      <c r="B94" s="7" t="inlineStr">
        <is>
          <t>11ª Fase</t>
        </is>
      </c>
      <c r="C94" s="7" t="inlineStr">
        <is>
          <t>Ana Carolina Assis Benvenutti</t>
        </is>
      </c>
      <c r="D94" s="8" t="n">
        <v>28</v>
      </c>
      <c r="E94" s="8" t="n">
        <v>39</v>
      </c>
      <c r="F94" s="9">
        <f>IF(E94=0,"",D94/E94)</f>
        <v/>
      </c>
      <c r="G94" s="8">
        <f>SUMPRODUCT(($A$2:$A$239=A94)*($B$2:$B$239=B94)*($D$2:$D$239&gt;D94))+1</f>
        <v/>
      </c>
      <c r="H94" s="8">
        <f>SUMPRODUCT(($A$2:$A$239=A94)*($D$2:$D$239&gt;D94))+1</f>
        <v/>
      </c>
    </row>
    <row r="95">
      <c r="A95" s="10" t="inlineStr">
        <is>
          <t>Simulado 01</t>
        </is>
      </c>
      <c r="B95" s="10" t="inlineStr">
        <is>
          <t>11ª Fase</t>
        </is>
      </c>
      <c r="C95" s="10" t="inlineStr">
        <is>
          <t>Ana Flavia Losi</t>
        </is>
      </c>
      <c r="D95" s="11" t="n">
        <v>26</v>
      </c>
      <c r="E95" s="11" t="n">
        <v>39</v>
      </c>
      <c r="F95" s="12">
        <f>IF(E95=0,"",D95/E95)</f>
        <v/>
      </c>
      <c r="G95" s="11">
        <f>SUMPRODUCT(($A$2:$A$239=A95)*($B$2:$B$239=B95)*($D$2:$D$239&gt;D95))+1</f>
        <v/>
      </c>
      <c r="H95" s="11">
        <f>SUMPRODUCT(($A$2:$A$239=A95)*($D$2:$D$239&gt;D95))+1</f>
        <v/>
      </c>
    </row>
    <row r="96">
      <c r="A96" s="7" t="inlineStr">
        <is>
          <t>Simulado 01</t>
        </is>
      </c>
      <c r="B96" s="7" t="inlineStr">
        <is>
          <t>11ª Fase</t>
        </is>
      </c>
      <c r="C96" s="7" t="inlineStr">
        <is>
          <t>Bernardo Martins Zonta</t>
        </is>
      </c>
      <c r="D96" s="8" t="n">
        <v>27</v>
      </c>
      <c r="E96" s="8" t="n">
        <v>39</v>
      </c>
      <c r="F96" s="9">
        <f>IF(E96=0,"",D96/E96)</f>
        <v/>
      </c>
      <c r="G96" s="8">
        <f>SUMPRODUCT(($A$2:$A$239=A96)*($B$2:$B$239=B96)*($D$2:$D$239&gt;D96))+1</f>
        <v/>
      </c>
      <c r="H96" s="8">
        <f>SUMPRODUCT(($A$2:$A$239=A96)*($D$2:$D$239&gt;D96))+1</f>
        <v/>
      </c>
    </row>
    <row r="97">
      <c r="A97" s="10" t="inlineStr">
        <is>
          <t>Simulado 01</t>
        </is>
      </c>
      <c r="B97" s="10" t="inlineStr">
        <is>
          <t>11ª Fase</t>
        </is>
      </c>
      <c r="C97" s="10" t="inlineStr">
        <is>
          <t>Caio Mateus Garlini</t>
        </is>
      </c>
      <c r="D97" s="11" t="n">
        <v>27</v>
      </c>
      <c r="E97" s="11" t="n">
        <v>39</v>
      </c>
      <c r="F97" s="12">
        <f>IF(E97=0,"",D97/E97)</f>
        <v/>
      </c>
      <c r="G97" s="11">
        <f>SUMPRODUCT(($A$2:$A$239=A97)*($B$2:$B$239=B97)*($D$2:$D$239&gt;D97))+1</f>
        <v/>
      </c>
      <c r="H97" s="11">
        <f>SUMPRODUCT(($A$2:$A$239=A97)*($D$2:$D$239&gt;D97))+1</f>
        <v/>
      </c>
    </row>
    <row r="98">
      <c r="A98" s="7" t="inlineStr">
        <is>
          <t>Simulado 01</t>
        </is>
      </c>
      <c r="B98" s="7" t="inlineStr">
        <is>
          <t>11ª Fase</t>
        </is>
      </c>
      <c r="C98" s="7" t="inlineStr">
        <is>
          <t>Carolina Signori Duarte</t>
        </is>
      </c>
      <c r="D98" s="8" t="n">
        <v>27</v>
      </c>
      <c r="E98" s="8" t="n">
        <v>39</v>
      </c>
      <c r="F98" s="9">
        <f>IF(E98=0,"",D98/E98)</f>
        <v/>
      </c>
      <c r="G98" s="8">
        <f>SUMPRODUCT(($A$2:$A$239=A98)*($B$2:$B$239=B98)*($D$2:$D$239&gt;D98))+1</f>
        <v/>
      </c>
      <c r="H98" s="8">
        <f>SUMPRODUCT(($A$2:$A$239=A98)*($D$2:$D$239&gt;D98))+1</f>
        <v/>
      </c>
    </row>
    <row r="99">
      <c r="A99" s="10" t="inlineStr">
        <is>
          <t>Simulado 01</t>
        </is>
      </c>
      <c r="B99" s="10" t="inlineStr">
        <is>
          <t>11ª Fase</t>
        </is>
      </c>
      <c r="C99" s="10" t="inlineStr">
        <is>
          <t>Danton Capistrano Ferreira</t>
        </is>
      </c>
      <c r="D99" s="11" t="n">
        <v>28</v>
      </c>
      <c r="E99" s="11" t="n">
        <v>39</v>
      </c>
      <c r="F99" s="12">
        <f>IF(E99=0,"",D99/E99)</f>
        <v/>
      </c>
      <c r="G99" s="11">
        <f>SUMPRODUCT(($A$2:$A$239=A99)*($B$2:$B$239=B99)*($D$2:$D$239&gt;D99))+1</f>
        <v/>
      </c>
      <c r="H99" s="11">
        <f>SUMPRODUCT(($A$2:$A$239=A99)*($D$2:$D$239&gt;D99))+1</f>
        <v/>
      </c>
    </row>
    <row r="100">
      <c r="A100" s="7" t="inlineStr">
        <is>
          <t>Simulado 01</t>
        </is>
      </c>
      <c r="B100" s="7" t="inlineStr">
        <is>
          <t>11ª Fase</t>
        </is>
      </c>
      <c r="C100" s="7" t="inlineStr">
        <is>
          <t>Eduarda Ferreira Merigo</t>
        </is>
      </c>
      <c r="D100" s="8" t="n">
        <v>23</v>
      </c>
      <c r="E100" s="8" t="n">
        <v>39</v>
      </c>
      <c r="F100" s="9">
        <f>IF(E100=0,"",D100/E100)</f>
        <v/>
      </c>
      <c r="G100" s="8">
        <f>SUMPRODUCT(($A$2:$A$239=A100)*($B$2:$B$239=B100)*($D$2:$D$239&gt;D100))+1</f>
        <v/>
      </c>
      <c r="H100" s="8">
        <f>SUMPRODUCT(($A$2:$A$239=A100)*($D$2:$D$239&gt;D100))+1</f>
        <v/>
      </c>
    </row>
    <row r="101">
      <c r="A101" s="10" t="inlineStr">
        <is>
          <t>Simulado 01</t>
        </is>
      </c>
      <c r="B101" s="10" t="inlineStr">
        <is>
          <t>11ª Fase</t>
        </is>
      </c>
      <c r="C101" s="10" t="inlineStr">
        <is>
          <t>Eduardo Lorenço Moreira</t>
        </is>
      </c>
      <c r="D101" s="11" t="n">
        <v>21</v>
      </c>
      <c r="E101" s="11" t="n">
        <v>39</v>
      </c>
      <c r="F101" s="12">
        <f>IF(E101=0,"",D101/E101)</f>
        <v/>
      </c>
      <c r="G101" s="11">
        <f>SUMPRODUCT(($A$2:$A$239=A101)*($B$2:$B$239=B101)*($D$2:$D$239&gt;D101))+1</f>
        <v/>
      </c>
      <c r="H101" s="11">
        <f>SUMPRODUCT(($A$2:$A$239=A101)*($D$2:$D$239&gt;D101))+1</f>
        <v/>
      </c>
    </row>
    <row r="102">
      <c r="A102" s="7" t="inlineStr">
        <is>
          <t>Simulado 01</t>
        </is>
      </c>
      <c r="B102" s="7" t="inlineStr">
        <is>
          <t>11ª Fase</t>
        </is>
      </c>
      <c r="C102" s="7" t="inlineStr">
        <is>
          <t>Elisa Patzlaff</t>
        </is>
      </c>
      <c r="D102" s="8" t="n">
        <v>23</v>
      </c>
      <c r="E102" s="8" t="n">
        <v>39</v>
      </c>
      <c r="F102" s="9">
        <f>IF(E102=0,"",D102/E102)</f>
        <v/>
      </c>
      <c r="G102" s="8">
        <f>SUMPRODUCT(($A$2:$A$239=A102)*($B$2:$B$239=B102)*($D$2:$D$239&gt;D102))+1</f>
        <v/>
      </c>
      <c r="H102" s="8">
        <f>SUMPRODUCT(($A$2:$A$239=A102)*($D$2:$D$239&gt;D102))+1</f>
        <v/>
      </c>
    </row>
    <row r="103">
      <c r="A103" s="10" t="inlineStr">
        <is>
          <t>Simulado 01</t>
        </is>
      </c>
      <c r="B103" s="10" t="inlineStr">
        <is>
          <t>11ª Fase</t>
        </is>
      </c>
      <c r="C103" s="10" t="inlineStr">
        <is>
          <t>Gustavo Heerdt da Silva</t>
        </is>
      </c>
      <c r="D103" s="11" t="n">
        <v>26</v>
      </c>
      <c r="E103" s="11" t="n">
        <v>39</v>
      </c>
      <c r="F103" s="12">
        <f>IF(E103=0,"",D103/E103)</f>
        <v/>
      </c>
      <c r="G103" s="11">
        <f>SUMPRODUCT(($A$2:$A$239=A103)*($B$2:$B$239=B103)*($D$2:$D$239&gt;D103))+1</f>
        <v/>
      </c>
      <c r="H103" s="11">
        <f>SUMPRODUCT(($A$2:$A$239=A103)*($D$2:$D$239&gt;D103))+1</f>
        <v/>
      </c>
    </row>
    <row r="104">
      <c r="A104" s="7" t="inlineStr">
        <is>
          <t>Simulado 01</t>
        </is>
      </c>
      <c r="B104" s="7" t="inlineStr">
        <is>
          <t>11ª Fase</t>
        </is>
      </c>
      <c r="C104" s="7" t="inlineStr">
        <is>
          <t>Gustavo Sborz</t>
        </is>
      </c>
      <c r="D104" s="8" t="n">
        <v>25</v>
      </c>
      <c r="E104" s="8" t="n">
        <v>39</v>
      </c>
      <c r="F104" s="9">
        <f>IF(E104=0,"",D104/E104)</f>
        <v/>
      </c>
      <c r="G104" s="8">
        <f>SUMPRODUCT(($A$2:$A$239=A104)*($B$2:$B$239=B104)*($D$2:$D$239&gt;D104))+1</f>
        <v/>
      </c>
      <c r="H104" s="8">
        <f>SUMPRODUCT(($A$2:$A$239=A104)*($D$2:$D$239&gt;D104))+1</f>
        <v/>
      </c>
    </row>
    <row r="105">
      <c r="A105" s="10" t="inlineStr">
        <is>
          <t>Simulado 01</t>
        </is>
      </c>
      <c r="B105" s="10" t="inlineStr">
        <is>
          <t>11ª Fase</t>
        </is>
      </c>
      <c r="C105" s="10" t="inlineStr">
        <is>
          <t>Juan Peres de Oliveira</t>
        </is>
      </c>
      <c r="D105" s="11" t="n">
        <v>27</v>
      </c>
      <c r="E105" s="11" t="n">
        <v>39</v>
      </c>
      <c r="F105" s="12">
        <f>IF(E105=0,"",D105/E105)</f>
        <v/>
      </c>
      <c r="G105" s="11">
        <f>SUMPRODUCT(($A$2:$A$239=A105)*($B$2:$B$239=B105)*($D$2:$D$239&gt;D105))+1</f>
        <v/>
      </c>
      <c r="H105" s="11">
        <f>SUMPRODUCT(($A$2:$A$239=A105)*($D$2:$D$239&gt;D105))+1</f>
        <v/>
      </c>
    </row>
    <row r="106">
      <c r="A106" s="7" t="inlineStr">
        <is>
          <t>Simulado 01</t>
        </is>
      </c>
      <c r="B106" s="7" t="inlineStr">
        <is>
          <t>11ª Fase</t>
        </is>
      </c>
      <c r="C106" s="7" t="inlineStr">
        <is>
          <t>Juliara Borguesan</t>
        </is>
      </c>
      <c r="D106" s="8" t="n">
        <v>30</v>
      </c>
      <c r="E106" s="8" t="n">
        <v>39</v>
      </c>
      <c r="F106" s="9">
        <f>IF(E106=0,"",D106/E106)</f>
        <v/>
      </c>
      <c r="G106" s="8">
        <f>SUMPRODUCT(($A$2:$A$239=A106)*($B$2:$B$239=B106)*($D$2:$D$239&gt;D106))+1</f>
        <v/>
      </c>
      <c r="H106" s="8">
        <f>SUMPRODUCT(($A$2:$A$239=A106)*($D$2:$D$239&gt;D106))+1</f>
        <v/>
      </c>
    </row>
    <row r="107">
      <c r="A107" s="10" t="inlineStr">
        <is>
          <t>Simulado 01</t>
        </is>
      </c>
      <c r="B107" s="10" t="inlineStr">
        <is>
          <t>11ª Fase</t>
        </is>
      </c>
      <c r="C107" s="10" t="inlineStr">
        <is>
          <t>Katrine Manoel</t>
        </is>
      </c>
      <c r="D107" s="11" t="n">
        <v>24</v>
      </c>
      <c r="E107" s="11" t="n">
        <v>39</v>
      </c>
      <c r="F107" s="12">
        <f>IF(E107=0,"",D107/E107)</f>
        <v/>
      </c>
      <c r="G107" s="11">
        <f>SUMPRODUCT(($A$2:$A$239=A107)*($B$2:$B$239=B107)*($D$2:$D$239&gt;D107))+1</f>
        <v/>
      </c>
      <c r="H107" s="11">
        <f>SUMPRODUCT(($A$2:$A$239=A107)*($D$2:$D$239&gt;D107))+1</f>
        <v/>
      </c>
    </row>
    <row r="108">
      <c r="A108" s="7" t="inlineStr">
        <is>
          <t>Simulado 01</t>
        </is>
      </c>
      <c r="B108" s="7" t="inlineStr">
        <is>
          <t>11ª Fase</t>
        </is>
      </c>
      <c r="C108" s="7" t="inlineStr">
        <is>
          <t>Luís Henrique Knaul</t>
        </is>
      </c>
      <c r="D108" s="8" t="n">
        <v>24</v>
      </c>
      <c r="E108" s="8" t="n">
        <v>39</v>
      </c>
      <c r="F108" s="9">
        <f>IF(E108=0,"",D108/E108)</f>
        <v/>
      </c>
      <c r="G108" s="8">
        <f>SUMPRODUCT(($A$2:$A$239=A108)*($B$2:$B$239=B108)*($D$2:$D$239&gt;D108))+1</f>
        <v/>
      </c>
      <c r="H108" s="8">
        <f>SUMPRODUCT(($A$2:$A$239=A108)*($D$2:$D$239&gt;D108))+1</f>
        <v/>
      </c>
    </row>
    <row r="109">
      <c r="A109" s="10" t="inlineStr">
        <is>
          <t>Simulado 01</t>
        </is>
      </c>
      <c r="B109" s="10" t="inlineStr">
        <is>
          <t>11ª Fase</t>
        </is>
      </c>
      <c r="C109" s="10" t="inlineStr">
        <is>
          <t>Luiza Tonet dos Santos</t>
        </is>
      </c>
      <c r="D109" s="11" t="n">
        <v>19</v>
      </c>
      <c r="E109" s="11" t="n">
        <v>39</v>
      </c>
      <c r="F109" s="12">
        <f>IF(E109=0,"",D109/E109)</f>
        <v/>
      </c>
      <c r="G109" s="11">
        <f>SUMPRODUCT(($A$2:$A$239=A109)*($B$2:$B$239=B109)*($D$2:$D$239&gt;D109))+1</f>
        <v/>
      </c>
      <c r="H109" s="11">
        <f>SUMPRODUCT(($A$2:$A$239=A109)*($D$2:$D$239&gt;D109))+1</f>
        <v/>
      </c>
    </row>
    <row r="110">
      <c r="A110" s="7" t="inlineStr">
        <is>
          <t>Simulado 01</t>
        </is>
      </c>
      <c r="B110" s="7" t="inlineStr">
        <is>
          <t>11ª Fase</t>
        </is>
      </c>
      <c r="C110" s="7" t="inlineStr">
        <is>
          <t>Maria Amélia Vozniak Deluca</t>
        </is>
      </c>
      <c r="D110" s="8" t="n">
        <v>24</v>
      </c>
      <c r="E110" s="8" t="n">
        <v>39</v>
      </c>
      <c r="F110" s="9">
        <f>IF(E110=0,"",D110/E110)</f>
        <v/>
      </c>
      <c r="G110" s="8">
        <f>SUMPRODUCT(($A$2:$A$239=A110)*($B$2:$B$239=B110)*($D$2:$D$239&gt;D110))+1</f>
        <v/>
      </c>
      <c r="H110" s="8">
        <f>SUMPRODUCT(($A$2:$A$239=A110)*($D$2:$D$239&gt;D110))+1</f>
        <v/>
      </c>
    </row>
    <row r="111">
      <c r="A111" s="10" t="inlineStr">
        <is>
          <t>Simulado 01</t>
        </is>
      </c>
      <c r="B111" s="10" t="inlineStr">
        <is>
          <t>11ª Fase</t>
        </is>
      </c>
      <c r="C111" s="10" t="inlineStr">
        <is>
          <t>Mateus Henrique Silva</t>
        </is>
      </c>
      <c r="D111" s="11" t="n">
        <v>31</v>
      </c>
      <c r="E111" s="11" t="n">
        <v>39</v>
      </c>
      <c r="F111" s="12">
        <f>IF(E111=0,"",D111/E111)</f>
        <v/>
      </c>
      <c r="G111" s="11">
        <f>SUMPRODUCT(($A$2:$A$239=A111)*($B$2:$B$239=B111)*($D$2:$D$239&gt;D111))+1</f>
        <v/>
      </c>
      <c r="H111" s="11">
        <f>SUMPRODUCT(($A$2:$A$239=A111)*($D$2:$D$239&gt;D111))+1</f>
        <v/>
      </c>
    </row>
    <row r="112">
      <c r="A112" s="7" t="inlineStr">
        <is>
          <t>Simulado 01</t>
        </is>
      </c>
      <c r="B112" s="7" t="inlineStr">
        <is>
          <t>11ª Fase</t>
        </is>
      </c>
      <c r="C112" s="7" t="inlineStr">
        <is>
          <t>Micheli Padilha</t>
        </is>
      </c>
      <c r="D112" s="8" t="n">
        <v>20</v>
      </c>
      <c r="E112" s="8" t="n">
        <v>39</v>
      </c>
      <c r="F112" s="9">
        <f>IF(E112=0,"",D112/E112)</f>
        <v/>
      </c>
      <c r="G112" s="8">
        <f>SUMPRODUCT(($A$2:$A$239=A112)*($B$2:$B$239=B112)*($D$2:$D$239&gt;D112))+1</f>
        <v/>
      </c>
      <c r="H112" s="8">
        <f>SUMPRODUCT(($A$2:$A$239=A112)*($D$2:$D$239&gt;D112))+1</f>
        <v/>
      </c>
    </row>
    <row r="113">
      <c r="A113" s="10" t="inlineStr">
        <is>
          <t>Simulado 01</t>
        </is>
      </c>
      <c r="B113" s="10" t="inlineStr">
        <is>
          <t>11ª Fase</t>
        </is>
      </c>
      <c r="C113" s="10" t="inlineStr">
        <is>
          <t>Rafaela Dela Justina</t>
        </is>
      </c>
      <c r="D113" s="11" t="n">
        <v>25</v>
      </c>
      <c r="E113" s="11" t="n">
        <v>39</v>
      </c>
      <c r="F113" s="12">
        <f>IF(E113=0,"",D113/E113)</f>
        <v/>
      </c>
      <c r="G113" s="11">
        <f>SUMPRODUCT(($A$2:$A$239=A113)*($B$2:$B$239=B113)*($D$2:$D$239&gt;D113))+1</f>
        <v/>
      </c>
      <c r="H113" s="11">
        <f>SUMPRODUCT(($A$2:$A$239=A113)*($D$2:$D$239&gt;D113))+1</f>
        <v/>
      </c>
    </row>
    <row r="114">
      <c r="A114" s="7" t="inlineStr">
        <is>
          <t>Simulado 01</t>
        </is>
      </c>
      <c r="B114" s="7" t="inlineStr">
        <is>
          <t>11ª Fase</t>
        </is>
      </c>
      <c r="C114" s="7" t="inlineStr">
        <is>
          <t>Ramon Hüntermann</t>
        </is>
      </c>
      <c r="D114" s="8" t="n">
        <v>24</v>
      </c>
      <c r="E114" s="8" t="n">
        <v>39</v>
      </c>
      <c r="F114" s="9">
        <f>IF(E114=0,"",D114/E114)</f>
        <v/>
      </c>
      <c r="G114" s="8">
        <f>SUMPRODUCT(($A$2:$A$239=A114)*($B$2:$B$239=B114)*($D$2:$D$239&gt;D114))+1</f>
        <v/>
      </c>
      <c r="H114" s="8">
        <f>SUMPRODUCT(($A$2:$A$239=A114)*($D$2:$D$239&gt;D114))+1</f>
        <v/>
      </c>
    </row>
    <row r="115">
      <c r="A115" s="10" t="inlineStr">
        <is>
          <t>Simulado 01</t>
        </is>
      </c>
      <c r="B115" s="10" t="inlineStr">
        <is>
          <t>11ª Fase</t>
        </is>
      </c>
      <c r="C115" s="10" t="inlineStr">
        <is>
          <t>Raquel Michels</t>
        </is>
      </c>
      <c r="D115" s="11" t="n">
        <v>26</v>
      </c>
      <c r="E115" s="11" t="n">
        <v>39</v>
      </c>
      <c r="F115" s="12">
        <f>IF(E115=0,"",D115/E115)</f>
        <v/>
      </c>
      <c r="G115" s="11">
        <f>SUMPRODUCT(($A$2:$A$239=A115)*($B$2:$B$239=B115)*($D$2:$D$239&gt;D115))+1</f>
        <v/>
      </c>
      <c r="H115" s="11">
        <f>SUMPRODUCT(($A$2:$A$239=A115)*($D$2:$D$239&gt;D115))+1</f>
        <v/>
      </c>
    </row>
    <row r="116">
      <c r="A116" s="7" t="inlineStr">
        <is>
          <t>Simulado 01</t>
        </is>
      </c>
      <c r="B116" s="7" t="inlineStr">
        <is>
          <t>11ª Fase</t>
        </is>
      </c>
      <c r="C116" s="7" t="inlineStr">
        <is>
          <t>Taina Farias</t>
        </is>
      </c>
      <c r="D116" s="8" t="n">
        <v>24</v>
      </c>
      <c r="E116" s="8" t="n">
        <v>39</v>
      </c>
      <c r="F116" s="9">
        <f>IF(E116=0,"",D116/E116)</f>
        <v/>
      </c>
      <c r="G116" s="8">
        <f>SUMPRODUCT(($A$2:$A$239=A116)*($B$2:$B$239=B116)*($D$2:$D$239&gt;D116))+1</f>
        <v/>
      </c>
      <c r="H116" s="8">
        <f>SUMPRODUCT(($A$2:$A$239=A116)*($D$2:$D$239&gt;D116))+1</f>
        <v/>
      </c>
    </row>
    <row r="117">
      <c r="A117" s="10" t="inlineStr">
        <is>
          <t>Simulado 01</t>
        </is>
      </c>
      <c r="B117" s="10" t="inlineStr">
        <is>
          <t>11ª Fase</t>
        </is>
      </c>
      <c r="C117" s="10" t="inlineStr">
        <is>
          <t>Taís Cristina Paludo</t>
        </is>
      </c>
      <c r="D117" s="11" t="n">
        <v>27</v>
      </c>
      <c r="E117" s="11" t="n">
        <v>39</v>
      </c>
      <c r="F117" s="12">
        <f>IF(E117=0,"",D117/E117)</f>
        <v/>
      </c>
      <c r="G117" s="11">
        <f>SUMPRODUCT(($A$2:$A$239=A117)*($B$2:$B$239=B117)*($D$2:$D$239&gt;D117))+1</f>
        <v/>
      </c>
      <c r="H117" s="11">
        <f>SUMPRODUCT(($A$2:$A$239=A117)*($D$2:$D$239&gt;D117))+1</f>
        <v/>
      </c>
    </row>
    <row r="118">
      <c r="A118" s="7" t="inlineStr">
        <is>
          <t>Simulado 01</t>
        </is>
      </c>
      <c r="B118" s="7" t="inlineStr">
        <is>
          <t>11ª Fase</t>
        </is>
      </c>
      <c r="C118" s="7" t="inlineStr">
        <is>
          <t>Yasmin Minatti</t>
        </is>
      </c>
      <c r="D118" s="8" t="n">
        <v>26</v>
      </c>
      <c r="E118" s="8" t="n">
        <v>39</v>
      </c>
      <c r="F118" s="9">
        <f>IF(E118=0,"",D118/E118)</f>
        <v/>
      </c>
      <c r="G118" s="8">
        <f>SUMPRODUCT(($A$2:$A$239=A118)*($B$2:$B$239=B118)*($D$2:$D$239&gt;D118))+1</f>
        <v/>
      </c>
      <c r="H118" s="8">
        <f>SUMPRODUCT(($A$2:$A$239=A118)*($D$2:$D$239&gt;D118))+1</f>
        <v/>
      </c>
    </row>
    <row r="119">
      <c r="A119" s="10" t="inlineStr">
        <is>
          <t>Simulado 01</t>
        </is>
      </c>
      <c r="B119" s="10" t="inlineStr">
        <is>
          <t>11ª Fase</t>
        </is>
      </c>
      <c r="C119" s="10" t="inlineStr">
        <is>
          <t>Yasmin Paes Turnes</t>
        </is>
      </c>
      <c r="D119" s="11" t="n">
        <v>21</v>
      </c>
      <c r="E119" s="11" t="n">
        <v>39</v>
      </c>
      <c r="F119" s="12">
        <f>IF(E119=0,"",D119/E119)</f>
        <v/>
      </c>
      <c r="G119" s="11">
        <f>SUMPRODUCT(($A$2:$A$239=A119)*($B$2:$B$239=B119)*($D$2:$D$239&gt;D119))+1</f>
        <v/>
      </c>
      <c r="H119" s="11">
        <f>SUMPRODUCT(($A$2:$A$239=A119)*($D$2:$D$239&gt;D119))+1</f>
        <v/>
      </c>
    </row>
    <row r="120">
      <c r="A120" s="7" t="inlineStr">
        <is>
          <t>Simulado 02</t>
        </is>
      </c>
      <c r="B120" s="7" t="inlineStr">
        <is>
          <t>6ª Fase</t>
        </is>
      </c>
      <c r="C120" s="7" t="inlineStr">
        <is>
          <t>Amanda Figueiredo Meneghetti</t>
        </is>
      </c>
      <c r="D120" s="8" t="n">
        <v>34</v>
      </c>
      <c r="E120" s="8" t="n">
        <v>60</v>
      </c>
      <c r="F120" s="9">
        <f>IF(E120=0,"",D120/E120)</f>
        <v/>
      </c>
      <c r="G120" s="8">
        <f>SUMPRODUCT(($A$2:$A$239=A120)*($B$2:$B$239=B120)*($D$2:$D$239&gt;D120))+1</f>
        <v/>
      </c>
      <c r="H120" s="8">
        <f>SUMPRODUCT(($A$2:$A$239=A120)*($D$2:$D$239&gt;D120))+1</f>
        <v/>
      </c>
    </row>
    <row r="121">
      <c r="A121" s="10" t="inlineStr">
        <is>
          <t>Simulado 02</t>
        </is>
      </c>
      <c r="B121" s="10" t="inlineStr">
        <is>
          <t>6ª Fase</t>
        </is>
      </c>
      <c r="C121" s="10" t="inlineStr">
        <is>
          <t>Amanda de Matos da Silva</t>
        </is>
      </c>
      <c r="D121" s="11" t="n">
        <v>37</v>
      </c>
      <c r="E121" s="11" t="n">
        <v>60</v>
      </c>
      <c r="F121" s="12">
        <f>IF(E121=0,"",D121/E121)</f>
        <v/>
      </c>
      <c r="G121" s="11">
        <f>SUMPRODUCT(($A$2:$A$239=A121)*($B$2:$B$239=B121)*($D$2:$D$239&gt;D121))+1</f>
        <v/>
      </c>
      <c r="H121" s="11">
        <f>SUMPRODUCT(($A$2:$A$239=A121)*($D$2:$D$239&gt;D121))+1</f>
        <v/>
      </c>
    </row>
    <row r="122">
      <c r="A122" s="7" t="inlineStr">
        <is>
          <t>Simulado 02</t>
        </is>
      </c>
      <c r="B122" s="7" t="inlineStr">
        <is>
          <t>6ª Fase</t>
        </is>
      </c>
      <c r="C122" s="7" t="inlineStr">
        <is>
          <t>Bárbara Letícia Armiliato</t>
        </is>
      </c>
      <c r="D122" s="8" t="n">
        <v>28</v>
      </c>
      <c r="E122" s="8" t="n">
        <v>60</v>
      </c>
      <c r="F122" s="9">
        <f>IF(E122=0,"",D122/E122)</f>
        <v/>
      </c>
      <c r="G122" s="8">
        <f>SUMPRODUCT(($A$2:$A$239=A122)*($B$2:$B$239=B122)*($D$2:$D$239&gt;D122))+1</f>
        <v/>
      </c>
      <c r="H122" s="8">
        <f>SUMPRODUCT(($A$2:$A$239=A122)*($D$2:$D$239&gt;D122))+1</f>
        <v/>
      </c>
    </row>
    <row r="123">
      <c r="A123" s="10" t="inlineStr">
        <is>
          <t>Simulado 02</t>
        </is>
      </c>
      <c r="B123" s="10" t="inlineStr">
        <is>
          <t>6ª Fase</t>
        </is>
      </c>
      <c r="C123" s="10" t="inlineStr">
        <is>
          <t>Carla Bonacolsi</t>
        </is>
      </c>
      <c r="D123" s="11" t="n">
        <v>31</v>
      </c>
      <c r="E123" s="11" t="n">
        <v>60</v>
      </c>
      <c r="F123" s="12">
        <f>IF(E123=0,"",D123/E123)</f>
        <v/>
      </c>
      <c r="G123" s="11">
        <f>SUMPRODUCT(($A$2:$A$239=A123)*($B$2:$B$239=B123)*($D$2:$D$239&gt;D123))+1</f>
        <v/>
      </c>
      <c r="H123" s="11">
        <f>SUMPRODUCT(($A$2:$A$239=A123)*($D$2:$D$239&gt;D123))+1</f>
        <v/>
      </c>
    </row>
    <row r="124">
      <c r="A124" s="7" t="inlineStr">
        <is>
          <t>Simulado 02</t>
        </is>
      </c>
      <c r="B124" s="7" t="inlineStr">
        <is>
          <t>6ª Fase</t>
        </is>
      </c>
      <c r="C124" s="7" t="inlineStr">
        <is>
          <t>Cauã Eduardo Eibel</t>
        </is>
      </c>
      <c r="D124" s="8" t="n">
        <v>39</v>
      </c>
      <c r="E124" s="8" t="n">
        <v>60</v>
      </c>
      <c r="F124" s="9">
        <f>IF(E124=0,"",D124/E124)</f>
        <v/>
      </c>
      <c r="G124" s="8">
        <f>SUMPRODUCT(($A$2:$A$239=A124)*($B$2:$B$239=B124)*($D$2:$D$239&gt;D124))+1</f>
        <v/>
      </c>
      <c r="H124" s="8">
        <f>SUMPRODUCT(($A$2:$A$239=A124)*($D$2:$D$239&gt;D124))+1</f>
        <v/>
      </c>
    </row>
    <row r="125">
      <c r="A125" s="10" t="inlineStr">
        <is>
          <t>Simulado 02</t>
        </is>
      </c>
      <c r="B125" s="10" t="inlineStr">
        <is>
          <t>6ª Fase</t>
        </is>
      </c>
      <c r="C125" s="10" t="inlineStr">
        <is>
          <t>Eduardo Jacó Goedert</t>
        </is>
      </c>
      <c r="D125" s="11" t="n">
        <v>36</v>
      </c>
      <c r="E125" s="11" t="n">
        <v>60</v>
      </c>
      <c r="F125" s="12">
        <f>IF(E125=0,"",D125/E125)</f>
        <v/>
      </c>
      <c r="G125" s="11">
        <f>SUMPRODUCT(($A$2:$A$239=A125)*($B$2:$B$239=B125)*($D$2:$D$239&gt;D125))+1</f>
        <v/>
      </c>
      <c r="H125" s="11">
        <f>SUMPRODUCT(($A$2:$A$239=A125)*($D$2:$D$239&gt;D125))+1</f>
        <v/>
      </c>
    </row>
    <row r="126">
      <c r="A126" s="7" t="inlineStr">
        <is>
          <t>Simulado 02</t>
        </is>
      </c>
      <c r="B126" s="7" t="inlineStr">
        <is>
          <t>6ª Fase</t>
        </is>
      </c>
      <c r="C126" s="7" t="inlineStr">
        <is>
          <t>Giacomo João Mondini</t>
        </is>
      </c>
      <c r="D126" s="8" t="n">
        <v>40</v>
      </c>
      <c r="E126" s="8" t="n">
        <v>60</v>
      </c>
      <c r="F126" s="9">
        <f>IF(E126=0,"",D126/E126)</f>
        <v/>
      </c>
      <c r="G126" s="8">
        <f>SUMPRODUCT(($A$2:$A$239=A126)*($B$2:$B$239=B126)*($D$2:$D$239&gt;D126))+1</f>
        <v/>
      </c>
      <c r="H126" s="8">
        <f>SUMPRODUCT(($A$2:$A$239=A126)*($D$2:$D$239&gt;D126))+1</f>
        <v/>
      </c>
    </row>
    <row r="127">
      <c r="A127" s="10" t="inlineStr">
        <is>
          <t>Simulado 02</t>
        </is>
      </c>
      <c r="B127" s="10" t="inlineStr">
        <is>
          <t>6ª Fase</t>
        </is>
      </c>
      <c r="C127" s="10" t="inlineStr">
        <is>
          <t>Heitor Antônio Giehl</t>
        </is>
      </c>
      <c r="D127" s="11" t="n">
        <v>32</v>
      </c>
      <c r="E127" s="11" t="n">
        <v>60</v>
      </c>
      <c r="F127" s="12">
        <f>IF(E127=0,"",D127/E127)</f>
        <v/>
      </c>
      <c r="G127" s="11">
        <f>SUMPRODUCT(($A$2:$A$239=A127)*($B$2:$B$239=B127)*($D$2:$D$239&gt;D127))+1</f>
        <v/>
      </c>
      <c r="H127" s="11">
        <f>SUMPRODUCT(($A$2:$A$239=A127)*($D$2:$D$239&gt;D127))+1</f>
        <v/>
      </c>
    </row>
    <row r="128">
      <c r="A128" s="7" t="inlineStr">
        <is>
          <t>Simulado 02</t>
        </is>
      </c>
      <c r="B128" s="7" t="inlineStr">
        <is>
          <t>6ª Fase</t>
        </is>
      </c>
      <c r="C128" s="7" t="inlineStr">
        <is>
          <t>Iago Prim Guimarães de Melo</t>
        </is>
      </c>
      <c r="D128" s="8" t="n">
        <v>37</v>
      </c>
      <c r="E128" s="8" t="n">
        <v>60</v>
      </c>
      <c r="F128" s="9">
        <f>IF(E128=0,"",D128/E128)</f>
        <v/>
      </c>
      <c r="G128" s="8">
        <f>SUMPRODUCT(($A$2:$A$239=A128)*($B$2:$B$239=B128)*($D$2:$D$239&gt;D128))+1</f>
        <v/>
      </c>
      <c r="H128" s="8">
        <f>SUMPRODUCT(($A$2:$A$239=A128)*($D$2:$D$239&gt;D128))+1</f>
        <v/>
      </c>
    </row>
    <row r="129">
      <c r="A129" s="10" t="inlineStr">
        <is>
          <t>Simulado 02</t>
        </is>
      </c>
      <c r="B129" s="10" t="inlineStr">
        <is>
          <t>6ª Fase</t>
        </is>
      </c>
      <c r="C129" s="10" t="inlineStr">
        <is>
          <t>João Otávio Correa Machado</t>
        </is>
      </c>
      <c r="D129" s="11" t="n">
        <v>36</v>
      </c>
      <c r="E129" s="11" t="n">
        <v>60</v>
      </c>
      <c r="F129" s="12">
        <f>IF(E129=0,"",D129/E129)</f>
        <v/>
      </c>
      <c r="G129" s="11">
        <f>SUMPRODUCT(($A$2:$A$239=A129)*($B$2:$B$239=B129)*($D$2:$D$239&gt;D129))+1</f>
        <v/>
      </c>
      <c r="H129" s="11">
        <f>SUMPRODUCT(($A$2:$A$239=A129)*($D$2:$D$239&gt;D129))+1</f>
        <v/>
      </c>
    </row>
    <row r="130">
      <c r="A130" s="7" t="inlineStr">
        <is>
          <t>Simulado 02</t>
        </is>
      </c>
      <c r="B130" s="7" t="inlineStr">
        <is>
          <t>6ª Fase</t>
        </is>
      </c>
      <c r="C130" s="7" t="inlineStr">
        <is>
          <t>Larissa Raimundo</t>
        </is>
      </c>
      <c r="D130" s="8" t="n">
        <v>34</v>
      </c>
      <c r="E130" s="8" t="n">
        <v>60</v>
      </c>
      <c r="F130" s="9">
        <f>IF(E130=0,"",D130/E130)</f>
        <v/>
      </c>
      <c r="G130" s="8">
        <f>SUMPRODUCT(($A$2:$A$239=A130)*($B$2:$B$239=B130)*($D$2:$D$239&gt;D130))+1</f>
        <v/>
      </c>
      <c r="H130" s="8">
        <f>SUMPRODUCT(($A$2:$A$239=A130)*($D$2:$D$239&gt;D130))+1</f>
        <v/>
      </c>
    </row>
    <row r="131">
      <c r="A131" s="10" t="inlineStr">
        <is>
          <t>Simulado 02</t>
        </is>
      </c>
      <c r="B131" s="10" t="inlineStr">
        <is>
          <t>6ª Fase</t>
        </is>
      </c>
      <c r="C131" s="10" t="inlineStr">
        <is>
          <t>Leandro Batista de Oliveira</t>
        </is>
      </c>
      <c r="D131" s="11" t="n">
        <v>34</v>
      </c>
      <c r="E131" s="11" t="n">
        <v>60</v>
      </c>
      <c r="F131" s="12">
        <f>IF(E131=0,"",D131/E131)</f>
        <v/>
      </c>
      <c r="G131" s="11">
        <f>SUMPRODUCT(($A$2:$A$239=A131)*($B$2:$B$239=B131)*($D$2:$D$239&gt;D131))+1</f>
        <v/>
      </c>
      <c r="H131" s="11">
        <f>SUMPRODUCT(($A$2:$A$239=A131)*($D$2:$D$239&gt;D131))+1</f>
        <v/>
      </c>
    </row>
    <row r="132">
      <c r="A132" s="7" t="inlineStr">
        <is>
          <t>Simulado 02</t>
        </is>
      </c>
      <c r="B132" s="7" t="inlineStr">
        <is>
          <t>6ª Fase</t>
        </is>
      </c>
      <c r="C132" s="7" t="inlineStr">
        <is>
          <t>Léo Jaime Xavier da Silva</t>
        </is>
      </c>
      <c r="D132" s="8" t="n">
        <v>34</v>
      </c>
      <c r="E132" s="8" t="n">
        <v>60</v>
      </c>
      <c r="F132" s="9">
        <f>IF(E132=0,"",D132/E132)</f>
        <v/>
      </c>
      <c r="G132" s="8">
        <f>SUMPRODUCT(($A$2:$A$239=A132)*($B$2:$B$239=B132)*($D$2:$D$239&gt;D132))+1</f>
        <v/>
      </c>
      <c r="H132" s="8">
        <f>SUMPRODUCT(($A$2:$A$239=A132)*($D$2:$D$239&gt;D132))+1</f>
        <v/>
      </c>
    </row>
    <row r="133">
      <c r="A133" s="10" t="inlineStr">
        <is>
          <t>Simulado 02</t>
        </is>
      </c>
      <c r="B133" s="10" t="inlineStr">
        <is>
          <t>6ª Fase</t>
        </is>
      </c>
      <c r="C133" s="10" t="inlineStr">
        <is>
          <t>Letícia Tiburski da Rocha</t>
        </is>
      </c>
      <c r="D133" s="11" t="n">
        <v>36</v>
      </c>
      <c r="E133" s="11" t="n">
        <v>60</v>
      </c>
      <c r="F133" s="12">
        <f>IF(E133=0,"",D133/E133)</f>
        <v/>
      </c>
      <c r="G133" s="11">
        <f>SUMPRODUCT(($A$2:$A$239=A133)*($B$2:$B$239=B133)*($D$2:$D$239&gt;D133))+1</f>
        <v/>
      </c>
      <c r="H133" s="11">
        <f>SUMPRODUCT(($A$2:$A$239=A133)*($D$2:$D$239&gt;D133))+1</f>
        <v/>
      </c>
    </row>
    <row r="134">
      <c r="A134" s="7" t="inlineStr">
        <is>
          <t>Simulado 02</t>
        </is>
      </c>
      <c r="B134" s="7" t="inlineStr">
        <is>
          <t>6ª Fase</t>
        </is>
      </c>
      <c r="C134" s="7" t="inlineStr">
        <is>
          <t>Lohana Helena da Fonseca Silva</t>
        </is>
      </c>
      <c r="D134" s="8" t="n">
        <v>35</v>
      </c>
      <c r="E134" s="8" t="n">
        <v>60</v>
      </c>
      <c r="F134" s="9">
        <f>IF(E134=0,"",D134/E134)</f>
        <v/>
      </c>
      <c r="G134" s="8">
        <f>SUMPRODUCT(($A$2:$A$239=A134)*($B$2:$B$239=B134)*($D$2:$D$239&gt;D134))+1</f>
        <v/>
      </c>
      <c r="H134" s="8">
        <f>SUMPRODUCT(($A$2:$A$239=A134)*($D$2:$D$239&gt;D134))+1</f>
        <v/>
      </c>
    </row>
    <row r="135">
      <c r="A135" s="10" t="inlineStr">
        <is>
          <t>Simulado 02</t>
        </is>
      </c>
      <c r="B135" s="10" t="inlineStr">
        <is>
          <t>6ª Fase</t>
        </is>
      </c>
      <c r="C135" s="10" t="inlineStr">
        <is>
          <t>Lucas Bongiolo</t>
        </is>
      </c>
      <c r="D135" s="11" t="n">
        <v>33</v>
      </c>
      <c r="E135" s="11" t="n">
        <v>60</v>
      </c>
      <c r="F135" s="12">
        <f>IF(E135=0,"",D135/E135)</f>
        <v/>
      </c>
      <c r="G135" s="11">
        <f>SUMPRODUCT(($A$2:$A$239=A135)*($B$2:$B$239=B135)*($D$2:$D$239&gt;D135))+1</f>
        <v/>
      </c>
      <c r="H135" s="11">
        <f>SUMPRODUCT(($A$2:$A$239=A135)*($D$2:$D$239&gt;D135))+1</f>
        <v/>
      </c>
    </row>
    <row r="136">
      <c r="A136" s="7" t="inlineStr">
        <is>
          <t>Simulado 02</t>
        </is>
      </c>
      <c r="B136" s="7" t="inlineStr">
        <is>
          <t>6ª Fase</t>
        </is>
      </c>
      <c r="C136" s="7" t="inlineStr">
        <is>
          <t>Lucas Paulo Tito Staloch</t>
        </is>
      </c>
      <c r="D136" s="8" t="n">
        <v>28</v>
      </c>
      <c r="E136" s="8" t="n">
        <v>60</v>
      </c>
      <c r="F136" s="9">
        <f>IF(E136=0,"",D136/E136)</f>
        <v/>
      </c>
      <c r="G136" s="8">
        <f>SUMPRODUCT(($A$2:$A$239=A136)*($B$2:$B$239=B136)*($D$2:$D$239&gt;D136))+1</f>
        <v/>
      </c>
      <c r="H136" s="8">
        <f>SUMPRODUCT(($A$2:$A$239=A136)*($D$2:$D$239&gt;D136))+1</f>
        <v/>
      </c>
    </row>
    <row r="137">
      <c r="A137" s="10" t="inlineStr">
        <is>
          <t>Simulado 02</t>
        </is>
      </c>
      <c r="B137" s="10" t="inlineStr">
        <is>
          <t>6ª Fase</t>
        </is>
      </c>
      <c r="C137" s="10" t="inlineStr">
        <is>
          <t>Maísa Laguna</t>
        </is>
      </c>
      <c r="D137" s="11" t="n">
        <v>45</v>
      </c>
      <c r="E137" s="11" t="n">
        <v>60</v>
      </c>
      <c r="F137" s="12">
        <f>IF(E137=0,"",D137/E137)</f>
        <v/>
      </c>
      <c r="G137" s="11">
        <f>SUMPRODUCT(($A$2:$A$239=A137)*($B$2:$B$239=B137)*($D$2:$D$239&gt;D137))+1</f>
        <v/>
      </c>
      <c r="H137" s="11">
        <f>SUMPRODUCT(($A$2:$A$239=A137)*($D$2:$D$239&gt;D137))+1</f>
        <v/>
      </c>
    </row>
    <row r="138">
      <c r="A138" s="7" t="inlineStr">
        <is>
          <t>Simulado 02</t>
        </is>
      </c>
      <c r="B138" s="7" t="inlineStr">
        <is>
          <t>6ª Fase</t>
        </is>
      </c>
      <c r="C138" s="7" t="inlineStr">
        <is>
          <t>Manuela Cristine Silva</t>
        </is>
      </c>
      <c r="D138" s="8" t="n">
        <v>30</v>
      </c>
      <c r="E138" s="8" t="n">
        <v>60</v>
      </c>
      <c r="F138" s="9">
        <f>IF(E138=0,"",D138/E138)</f>
        <v/>
      </c>
      <c r="G138" s="8">
        <f>SUMPRODUCT(($A$2:$A$239=A138)*($B$2:$B$239=B138)*($D$2:$D$239&gt;D138))+1</f>
        <v/>
      </c>
      <c r="H138" s="8">
        <f>SUMPRODUCT(($A$2:$A$239=A138)*($D$2:$D$239&gt;D138))+1</f>
        <v/>
      </c>
    </row>
    <row r="139">
      <c r="A139" s="10" t="inlineStr">
        <is>
          <t>Simulado 02</t>
        </is>
      </c>
      <c r="B139" s="10" t="inlineStr">
        <is>
          <t>6ª Fase</t>
        </is>
      </c>
      <c r="C139" s="10" t="inlineStr">
        <is>
          <t>Mara Camily Kammers Cunha</t>
        </is>
      </c>
      <c r="D139" s="11" t="n">
        <v>27</v>
      </c>
      <c r="E139" s="11" t="n">
        <v>60</v>
      </c>
      <c r="F139" s="12">
        <f>IF(E139=0,"",D139/E139)</f>
        <v/>
      </c>
      <c r="G139" s="11">
        <f>SUMPRODUCT(($A$2:$A$239=A139)*($B$2:$B$239=B139)*($D$2:$D$239&gt;D139))+1</f>
        <v/>
      </c>
      <c r="H139" s="11">
        <f>SUMPRODUCT(($A$2:$A$239=A139)*($D$2:$D$239&gt;D139))+1</f>
        <v/>
      </c>
    </row>
    <row r="140">
      <c r="A140" s="7" t="inlineStr">
        <is>
          <t>Simulado 02</t>
        </is>
      </c>
      <c r="B140" s="7" t="inlineStr">
        <is>
          <t>6ª Fase</t>
        </is>
      </c>
      <c r="C140" s="7" t="inlineStr">
        <is>
          <t>Maria Eduarda Silveira Navarro Lins</t>
        </is>
      </c>
      <c r="D140" s="8" t="n">
        <v>37</v>
      </c>
      <c r="E140" s="8" t="n">
        <v>60</v>
      </c>
      <c r="F140" s="9">
        <f>IF(E140=0,"",D140/E140)</f>
        <v/>
      </c>
      <c r="G140" s="8">
        <f>SUMPRODUCT(($A$2:$A$239=A140)*($B$2:$B$239=B140)*($D$2:$D$239&gt;D140))+1</f>
        <v/>
      </c>
      <c r="H140" s="8">
        <f>SUMPRODUCT(($A$2:$A$239=A140)*($D$2:$D$239&gt;D140))+1</f>
        <v/>
      </c>
    </row>
    <row r="141">
      <c r="A141" s="10" t="inlineStr">
        <is>
          <t>Simulado 02</t>
        </is>
      </c>
      <c r="B141" s="10" t="inlineStr">
        <is>
          <t>6ª Fase</t>
        </is>
      </c>
      <c r="C141" s="10" t="inlineStr">
        <is>
          <t>Maria Isadora Baptista Pianezzer</t>
        </is>
      </c>
      <c r="D141" s="11" t="n">
        <v>33</v>
      </c>
      <c r="E141" s="11" t="n">
        <v>60</v>
      </c>
      <c r="F141" s="12">
        <f>IF(E141=0,"",D141/E141)</f>
        <v/>
      </c>
      <c r="G141" s="11">
        <f>SUMPRODUCT(($A$2:$A$239=A141)*($B$2:$B$239=B141)*($D$2:$D$239&gt;D141))+1</f>
        <v/>
      </c>
      <c r="H141" s="11">
        <f>SUMPRODUCT(($A$2:$A$239=A141)*($D$2:$D$239&gt;D141))+1</f>
        <v/>
      </c>
    </row>
    <row r="142">
      <c r="A142" s="7" t="inlineStr">
        <is>
          <t>Simulado 02</t>
        </is>
      </c>
      <c r="B142" s="7" t="inlineStr">
        <is>
          <t>6ª Fase</t>
        </is>
      </c>
      <c r="C142" s="7" t="inlineStr">
        <is>
          <t>Pedro Henrique Daniel Abreu</t>
        </is>
      </c>
      <c r="D142" s="8" t="n">
        <v>35</v>
      </c>
      <c r="E142" s="8" t="n">
        <v>60</v>
      </c>
      <c r="F142" s="9">
        <f>IF(E142=0,"",D142/E142)</f>
        <v/>
      </c>
      <c r="G142" s="8">
        <f>SUMPRODUCT(($A$2:$A$239=A142)*($B$2:$B$239=B142)*($D$2:$D$239&gt;D142))+1</f>
        <v/>
      </c>
      <c r="H142" s="8">
        <f>SUMPRODUCT(($A$2:$A$239=A142)*($D$2:$D$239&gt;D142))+1</f>
        <v/>
      </c>
    </row>
    <row r="143">
      <c r="A143" s="10" t="inlineStr">
        <is>
          <t>Simulado 02</t>
        </is>
      </c>
      <c r="B143" s="10" t="inlineStr">
        <is>
          <t>6ª Fase</t>
        </is>
      </c>
      <c r="C143" s="10" t="inlineStr">
        <is>
          <t>Pedro Werner Eger</t>
        </is>
      </c>
      <c r="D143" s="11" t="n">
        <v>19</v>
      </c>
      <c r="E143" s="11" t="n">
        <v>60</v>
      </c>
      <c r="F143" s="12">
        <f>IF(E143=0,"",D143/E143)</f>
        <v/>
      </c>
      <c r="G143" s="11">
        <f>SUMPRODUCT(($A$2:$A$239=A143)*($B$2:$B$239=B143)*($D$2:$D$239&gt;D143))+1</f>
        <v/>
      </c>
      <c r="H143" s="11">
        <f>SUMPRODUCT(($A$2:$A$239=A143)*($D$2:$D$239&gt;D143))+1</f>
        <v/>
      </c>
    </row>
    <row r="144">
      <c r="A144" s="7" t="inlineStr">
        <is>
          <t>Simulado 02</t>
        </is>
      </c>
      <c r="B144" s="7" t="inlineStr">
        <is>
          <t>6ª Fase</t>
        </is>
      </c>
      <c r="C144" s="7" t="inlineStr">
        <is>
          <t>Tharik Stache Ribeiro</t>
        </is>
      </c>
      <c r="D144" s="8" t="n">
        <v>37</v>
      </c>
      <c r="E144" s="8" t="n">
        <v>60</v>
      </c>
      <c r="F144" s="9">
        <f>IF(E144=0,"",D144/E144)</f>
        <v/>
      </c>
      <c r="G144" s="8">
        <f>SUMPRODUCT(($A$2:$A$239=A144)*($B$2:$B$239=B144)*($D$2:$D$239&gt;D144))+1</f>
        <v/>
      </c>
      <c r="H144" s="8">
        <f>SUMPRODUCT(($A$2:$A$239=A144)*($D$2:$D$239&gt;D144))+1</f>
        <v/>
      </c>
    </row>
    <row r="145">
      <c r="A145" s="10" t="inlineStr">
        <is>
          <t>Simulado 02</t>
        </is>
      </c>
      <c r="B145" s="10" t="inlineStr">
        <is>
          <t>6ª Fase</t>
        </is>
      </c>
      <c r="C145" s="10" t="inlineStr">
        <is>
          <t>Thiago Matheussi Alves</t>
        </is>
      </c>
      <c r="D145" s="11" t="n">
        <v>30</v>
      </c>
      <c r="E145" s="11" t="n">
        <v>60</v>
      </c>
      <c r="F145" s="12">
        <f>IF(E145=0,"",D145/E145)</f>
        <v/>
      </c>
      <c r="G145" s="11">
        <f>SUMPRODUCT(($A$2:$A$239=A145)*($B$2:$B$239=B145)*($D$2:$D$239&gt;D145))+1</f>
        <v/>
      </c>
      <c r="H145" s="11">
        <f>SUMPRODUCT(($A$2:$A$239=A145)*($D$2:$D$239&gt;D145))+1</f>
        <v/>
      </c>
    </row>
    <row r="146">
      <c r="A146" s="7" t="inlineStr">
        <is>
          <t>Simulado 02</t>
        </is>
      </c>
      <c r="B146" s="7" t="inlineStr">
        <is>
          <t>6ª Fase</t>
        </is>
      </c>
      <c r="C146" s="7" t="inlineStr">
        <is>
          <t>Thiago Robert Brito de Lima</t>
        </is>
      </c>
      <c r="D146" s="8" t="n">
        <v>37</v>
      </c>
      <c r="E146" s="8" t="n">
        <v>60</v>
      </c>
      <c r="F146" s="9">
        <f>IF(E146=0,"",D146/E146)</f>
        <v/>
      </c>
      <c r="G146" s="8">
        <f>SUMPRODUCT(($A$2:$A$239=A146)*($B$2:$B$239=B146)*($D$2:$D$239&gt;D146))+1</f>
        <v/>
      </c>
      <c r="H146" s="8">
        <f>SUMPRODUCT(($A$2:$A$239=A146)*($D$2:$D$239&gt;D146))+1</f>
        <v/>
      </c>
    </row>
    <row r="147">
      <c r="A147" s="10" t="inlineStr">
        <is>
          <t>Simulado 02</t>
        </is>
      </c>
      <c r="B147" s="10" t="inlineStr">
        <is>
          <t>6ª Fase</t>
        </is>
      </c>
      <c r="C147" s="10" t="inlineStr">
        <is>
          <t>Victor Hugo Tonet</t>
        </is>
      </c>
      <c r="D147" s="11" t="n">
        <v>34</v>
      </c>
      <c r="E147" s="11" t="n">
        <v>60</v>
      </c>
      <c r="F147" s="12">
        <f>IF(E147=0,"",D147/E147)</f>
        <v/>
      </c>
      <c r="G147" s="11">
        <f>SUMPRODUCT(($A$2:$A$239=A147)*($B$2:$B$239=B147)*($D$2:$D$239&gt;D147))+1</f>
        <v/>
      </c>
      <c r="H147" s="11">
        <f>SUMPRODUCT(($A$2:$A$239=A147)*($D$2:$D$239&gt;D147))+1</f>
        <v/>
      </c>
    </row>
    <row r="148">
      <c r="A148" s="7" t="inlineStr">
        <is>
          <t>Simulado 02</t>
        </is>
      </c>
      <c r="B148" s="7" t="inlineStr">
        <is>
          <t>7ª Fase</t>
        </is>
      </c>
      <c r="C148" s="7" t="inlineStr">
        <is>
          <t>Abraham Lincoln Galdino Costa</t>
        </is>
      </c>
      <c r="D148" s="8" t="n">
        <v>38</v>
      </c>
      <c r="E148" s="8" t="n">
        <v>60</v>
      </c>
      <c r="F148" s="9">
        <f>IF(E148=0,"",D148/E148)</f>
        <v/>
      </c>
      <c r="G148" s="8">
        <f>SUMPRODUCT(($A$2:$A$239=A148)*($B$2:$B$239=B148)*($D$2:$D$239&gt;D148))+1</f>
        <v/>
      </c>
      <c r="H148" s="8">
        <f>SUMPRODUCT(($A$2:$A$239=A148)*($D$2:$D$239&gt;D148))+1</f>
        <v/>
      </c>
    </row>
    <row r="149">
      <c r="A149" s="10" t="inlineStr">
        <is>
          <t>Simulado 02</t>
        </is>
      </c>
      <c r="B149" s="10" t="inlineStr">
        <is>
          <t>7ª Fase</t>
        </is>
      </c>
      <c r="C149" s="10" t="inlineStr">
        <is>
          <t>Ana Luiza Tenfen</t>
        </is>
      </c>
      <c r="D149" s="11" t="n">
        <v>38</v>
      </c>
      <c r="E149" s="11" t="n">
        <v>60</v>
      </c>
      <c r="F149" s="12">
        <f>IF(E149=0,"",D149/E149)</f>
        <v/>
      </c>
      <c r="G149" s="11">
        <f>SUMPRODUCT(($A$2:$A$239=A149)*($B$2:$B$239=B149)*($D$2:$D$239&gt;D149))+1</f>
        <v/>
      </c>
      <c r="H149" s="11">
        <f>SUMPRODUCT(($A$2:$A$239=A149)*($D$2:$D$239&gt;D149))+1</f>
        <v/>
      </c>
    </row>
    <row r="150">
      <c r="A150" s="7" t="inlineStr">
        <is>
          <t>Simulado 02</t>
        </is>
      </c>
      <c r="B150" s="7" t="inlineStr">
        <is>
          <t>7ª Fase</t>
        </is>
      </c>
      <c r="C150" s="7" t="inlineStr">
        <is>
          <t>Antonella Gubert Verch</t>
        </is>
      </c>
      <c r="D150" s="8" t="n">
        <v>34</v>
      </c>
      <c r="E150" s="8" t="n">
        <v>60</v>
      </c>
      <c r="F150" s="9">
        <f>IF(E150=0,"",D150/E150)</f>
        <v/>
      </c>
      <c r="G150" s="8">
        <f>SUMPRODUCT(($A$2:$A$239=A150)*($B$2:$B$239=B150)*($D$2:$D$239&gt;D150))+1</f>
        <v/>
      </c>
      <c r="H150" s="8">
        <f>SUMPRODUCT(($A$2:$A$239=A150)*($D$2:$D$239&gt;D150))+1</f>
        <v/>
      </c>
    </row>
    <row r="151">
      <c r="A151" s="10" t="inlineStr">
        <is>
          <t>Simulado 02</t>
        </is>
      </c>
      <c r="B151" s="10" t="inlineStr">
        <is>
          <t>7ª Fase</t>
        </is>
      </c>
      <c r="C151" s="10" t="inlineStr">
        <is>
          <t>Augusto Henrique Gamba</t>
        </is>
      </c>
      <c r="D151" s="11" t="n">
        <v>40</v>
      </c>
      <c r="E151" s="11" t="n">
        <v>60</v>
      </c>
      <c r="F151" s="12">
        <f>IF(E151=0,"",D151/E151)</f>
        <v/>
      </c>
      <c r="G151" s="11">
        <f>SUMPRODUCT(($A$2:$A$239=A151)*($B$2:$B$239=B151)*($D$2:$D$239&gt;D151))+1</f>
        <v/>
      </c>
      <c r="H151" s="11">
        <f>SUMPRODUCT(($A$2:$A$239=A151)*($D$2:$D$239&gt;D151))+1</f>
        <v/>
      </c>
    </row>
    <row r="152">
      <c r="A152" s="7" t="inlineStr">
        <is>
          <t>Simulado 02</t>
        </is>
      </c>
      <c r="B152" s="7" t="inlineStr">
        <is>
          <t>7ª Fase</t>
        </is>
      </c>
      <c r="C152" s="7" t="inlineStr">
        <is>
          <t>Bruna Gonzalez Nejm</t>
        </is>
      </c>
      <c r="D152" s="8" t="n">
        <v>39</v>
      </c>
      <c r="E152" s="8" t="n">
        <v>60</v>
      </c>
      <c r="F152" s="9">
        <f>IF(E152=0,"",D152/E152)</f>
        <v/>
      </c>
      <c r="G152" s="8">
        <f>SUMPRODUCT(($A$2:$A$239=A152)*($B$2:$B$239=B152)*($D$2:$D$239&gt;D152))+1</f>
        <v/>
      </c>
      <c r="H152" s="8">
        <f>SUMPRODUCT(($A$2:$A$239=A152)*($D$2:$D$239&gt;D152))+1</f>
        <v/>
      </c>
    </row>
    <row r="153">
      <c r="A153" s="10" t="inlineStr">
        <is>
          <t>Simulado 02</t>
        </is>
      </c>
      <c r="B153" s="10" t="inlineStr">
        <is>
          <t>7ª Fase</t>
        </is>
      </c>
      <c r="C153" s="10" t="inlineStr">
        <is>
          <t>Carl Zolet Jonck</t>
        </is>
      </c>
      <c r="D153" s="11" t="n">
        <v>38</v>
      </c>
      <c r="E153" s="11" t="n">
        <v>60</v>
      </c>
      <c r="F153" s="12">
        <f>IF(E153=0,"",D153/E153)</f>
        <v/>
      </c>
      <c r="G153" s="11">
        <f>SUMPRODUCT(($A$2:$A$239=A153)*($B$2:$B$239=B153)*($D$2:$D$239&gt;D153))+1</f>
        <v/>
      </c>
      <c r="H153" s="11">
        <f>SUMPRODUCT(($A$2:$A$239=A153)*($D$2:$D$239&gt;D153))+1</f>
        <v/>
      </c>
    </row>
    <row r="154">
      <c r="A154" s="7" t="inlineStr">
        <is>
          <t>Simulado 02</t>
        </is>
      </c>
      <c r="B154" s="7" t="inlineStr">
        <is>
          <t>7ª Fase</t>
        </is>
      </c>
      <c r="C154" s="7" t="inlineStr">
        <is>
          <t>Élton Léo Junglos</t>
        </is>
      </c>
      <c r="D154" s="8" t="n">
        <v>19</v>
      </c>
      <c r="E154" s="8" t="n">
        <v>60</v>
      </c>
      <c r="F154" s="9">
        <f>IF(E154=0,"",D154/E154)</f>
        <v/>
      </c>
      <c r="G154" s="8">
        <f>SUMPRODUCT(($A$2:$A$239=A154)*($B$2:$B$239=B154)*($D$2:$D$239&gt;D154))+1</f>
        <v/>
      </c>
      <c r="H154" s="8">
        <f>SUMPRODUCT(($A$2:$A$239=A154)*($D$2:$D$239&gt;D154))+1</f>
        <v/>
      </c>
    </row>
    <row r="155">
      <c r="A155" s="10" t="inlineStr">
        <is>
          <t>Simulado 02</t>
        </is>
      </c>
      <c r="B155" s="10" t="inlineStr">
        <is>
          <t>7ª Fase</t>
        </is>
      </c>
      <c r="C155" s="10" t="inlineStr">
        <is>
          <t>Emanuela Tenfen</t>
        </is>
      </c>
      <c r="D155" s="11" t="n">
        <v>25</v>
      </c>
      <c r="E155" s="11" t="n">
        <v>60</v>
      </c>
      <c r="F155" s="12">
        <f>IF(E155=0,"",D155/E155)</f>
        <v/>
      </c>
      <c r="G155" s="11">
        <f>SUMPRODUCT(($A$2:$A$239=A155)*($B$2:$B$239=B155)*($D$2:$D$239&gt;D155))+1</f>
        <v/>
      </c>
      <c r="H155" s="11">
        <f>SUMPRODUCT(($A$2:$A$239=A155)*($D$2:$D$239&gt;D155))+1</f>
        <v/>
      </c>
    </row>
    <row r="156">
      <c r="A156" s="7" t="inlineStr">
        <is>
          <t>Simulado 02</t>
        </is>
      </c>
      <c r="B156" s="7" t="inlineStr">
        <is>
          <t>7ª Fase</t>
        </is>
      </c>
      <c r="C156" s="7" t="inlineStr">
        <is>
          <t>Emily Martins Arruda</t>
        </is>
      </c>
      <c r="D156" s="8" t="n">
        <v>33</v>
      </c>
      <c r="E156" s="8" t="n">
        <v>60</v>
      </c>
      <c r="F156" s="9">
        <f>IF(E156=0,"",D156/E156)</f>
        <v/>
      </c>
      <c r="G156" s="8">
        <f>SUMPRODUCT(($A$2:$A$239=A156)*($B$2:$B$239=B156)*($D$2:$D$239&gt;D156))+1</f>
        <v/>
      </c>
      <c r="H156" s="8">
        <f>SUMPRODUCT(($A$2:$A$239=A156)*($D$2:$D$239&gt;D156))+1</f>
        <v/>
      </c>
    </row>
    <row r="157">
      <c r="A157" s="10" t="inlineStr">
        <is>
          <t>Simulado 02</t>
        </is>
      </c>
      <c r="B157" s="10" t="inlineStr">
        <is>
          <t>7ª Fase</t>
        </is>
      </c>
      <c r="C157" s="10" t="inlineStr">
        <is>
          <t>Fernando Lima Nogueira</t>
        </is>
      </c>
      <c r="D157" s="11" t="n">
        <v>28</v>
      </c>
      <c r="E157" s="11" t="n">
        <v>60</v>
      </c>
      <c r="F157" s="12">
        <f>IF(E157=0,"",D157/E157)</f>
        <v/>
      </c>
      <c r="G157" s="11">
        <f>SUMPRODUCT(($A$2:$A$239=A157)*($B$2:$B$239=B157)*($D$2:$D$239&gt;D157))+1</f>
        <v/>
      </c>
      <c r="H157" s="11">
        <f>SUMPRODUCT(($A$2:$A$239=A157)*($D$2:$D$239&gt;D157))+1</f>
        <v/>
      </c>
    </row>
    <row r="158">
      <c r="A158" s="7" t="inlineStr">
        <is>
          <t>Simulado 02</t>
        </is>
      </c>
      <c r="B158" s="7" t="inlineStr">
        <is>
          <t>7ª Fase</t>
        </is>
      </c>
      <c r="C158" s="7" t="inlineStr">
        <is>
          <t>Gabriel Borella Rosado</t>
        </is>
      </c>
      <c r="D158" s="8" t="n">
        <v>25</v>
      </c>
      <c r="E158" s="8" t="n">
        <v>60</v>
      </c>
      <c r="F158" s="9">
        <f>IF(E158=0,"",D158/E158)</f>
        <v/>
      </c>
      <c r="G158" s="8">
        <f>SUMPRODUCT(($A$2:$A$239=A158)*($B$2:$B$239=B158)*($D$2:$D$239&gt;D158))+1</f>
        <v/>
      </c>
      <c r="H158" s="8">
        <f>SUMPRODUCT(($A$2:$A$239=A158)*($D$2:$D$239&gt;D158))+1</f>
        <v/>
      </c>
    </row>
    <row r="159">
      <c r="A159" s="10" t="inlineStr">
        <is>
          <t>Simulado 02</t>
        </is>
      </c>
      <c r="B159" s="10" t="inlineStr">
        <is>
          <t>7ª Fase</t>
        </is>
      </c>
      <c r="C159" s="10" t="inlineStr">
        <is>
          <t>Gabriela Lucia Imhoff</t>
        </is>
      </c>
      <c r="D159" s="11" t="n">
        <v>36</v>
      </c>
      <c r="E159" s="11" t="n">
        <v>60</v>
      </c>
      <c r="F159" s="12">
        <f>IF(E159=0,"",D159/E159)</f>
        <v/>
      </c>
      <c r="G159" s="11">
        <f>SUMPRODUCT(($A$2:$A$239=A159)*($B$2:$B$239=B159)*($D$2:$D$239&gt;D159))+1</f>
        <v/>
      </c>
      <c r="H159" s="11">
        <f>SUMPRODUCT(($A$2:$A$239=A159)*($D$2:$D$239&gt;D159))+1</f>
        <v/>
      </c>
    </row>
    <row r="160">
      <c r="A160" s="7" t="inlineStr">
        <is>
          <t>Simulado 02</t>
        </is>
      </c>
      <c r="B160" s="7" t="inlineStr">
        <is>
          <t>7ª Fase</t>
        </is>
      </c>
      <c r="C160" s="7" t="inlineStr">
        <is>
          <t>Gabriela Luiza Cezar</t>
        </is>
      </c>
      <c r="D160" s="8" t="n">
        <v>37</v>
      </c>
      <c r="E160" s="8" t="n">
        <v>60</v>
      </c>
      <c r="F160" s="9">
        <f>IF(E160=0,"",D160/E160)</f>
        <v/>
      </c>
      <c r="G160" s="8">
        <f>SUMPRODUCT(($A$2:$A$239=A160)*($B$2:$B$239=B160)*($D$2:$D$239&gt;D160))+1</f>
        <v/>
      </c>
      <c r="H160" s="8">
        <f>SUMPRODUCT(($A$2:$A$239=A160)*($D$2:$D$239&gt;D160))+1</f>
        <v/>
      </c>
    </row>
    <row r="161">
      <c r="A161" s="10" t="inlineStr">
        <is>
          <t>Simulado 02</t>
        </is>
      </c>
      <c r="B161" s="10" t="inlineStr">
        <is>
          <t>7ª Fase</t>
        </is>
      </c>
      <c r="C161" s="10" t="inlineStr">
        <is>
          <t>Gabriela Tambosi Catafesta</t>
        </is>
      </c>
      <c r="D161" s="11" t="n">
        <v>36</v>
      </c>
      <c r="E161" s="11" t="n">
        <v>60</v>
      </c>
      <c r="F161" s="12">
        <f>IF(E161=0,"",D161/E161)</f>
        <v/>
      </c>
      <c r="G161" s="11">
        <f>SUMPRODUCT(($A$2:$A$239=A161)*($B$2:$B$239=B161)*($D$2:$D$239&gt;D161))+1</f>
        <v/>
      </c>
      <c r="H161" s="11">
        <f>SUMPRODUCT(($A$2:$A$239=A161)*($D$2:$D$239&gt;D161))+1</f>
        <v/>
      </c>
    </row>
    <row r="162">
      <c r="A162" s="7" t="inlineStr">
        <is>
          <t>Simulado 02</t>
        </is>
      </c>
      <c r="B162" s="7" t="inlineStr">
        <is>
          <t>7ª Fase</t>
        </is>
      </c>
      <c r="C162" s="7" t="inlineStr">
        <is>
          <t>Gercino de Matos Neto</t>
        </is>
      </c>
      <c r="D162" s="8" t="n">
        <v>39</v>
      </c>
      <c r="E162" s="8" t="n">
        <v>60</v>
      </c>
      <c r="F162" s="9">
        <f>IF(E162=0,"",D162/E162)</f>
        <v/>
      </c>
      <c r="G162" s="8">
        <f>SUMPRODUCT(($A$2:$A$239=A162)*($B$2:$B$239=B162)*($D$2:$D$239&gt;D162))+1</f>
        <v/>
      </c>
      <c r="H162" s="8">
        <f>SUMPRODUCT(($A$2:$A$239=A162)*($D$2:$D$239&gt;D162))+1</f>
        <v/>
      </c>
    </row>
    <row r="163">
      <c r="A163" s="10" t="inlineStr">
        <is>
          <t>Simulado 02</t>
        </is>
      </c>
      <c r="B163" s="10" t="inlineStr">
        <is>
          <t>7ª Fase</t>
        </is>
      </c>
      <c r="C163" s="10" t="inlineStr">
        <is>
          <t>Henrique de Moraes Andrade</t>
        </is>
      </c>
      <c r="D163" s="11" t="n">
        <v>26</v>
      </c>
      <c r="E163" s="11" t="n">
        <v>60</v>
      </c>
      <c r="F163" s="12">
        <f>IF(E163=0,"",D163/E163)</f>
        <v/>
      </c>
      <c r="G163" s="11">
        <f>SUMPRODUCT(($A$2:$A$239=A163)*($B$2:$B$239=B163)*($D$2:$D$239&gt;D163))+1</f>
        <v/>
      </c>
      <c r="H163" s="11">
        <f>SUMPRODUCT(($A$2:$A$239=A163)*($D$2:$D$239&gt;D163))+1</f>
        <v/>
      </c>
    </row>
    <row r="164">
      <c r="A164" s="7" t="inlineStr">
        <is>
          <t>Simulado 02</t>
        </is>
      </c>
      <c r="B164" s="7" t="inlineStr">
        <is>
          <t>7ª Fase</t>
        </is>
      </c>
      <c r="C164" s="7" t="inlineStr">
        <is>
          <t>Íris Lyra Martendal</t>
        </is>
      </c>
      <c r="D164" s="8" t="n">
        <v>29</v>
      </c>
      <c r="E164" s="8" t="n">
        <v>60</v>
      </c>
      <c r="F164" s="9">
        <f>IF(E164=0,"",D164/E164)</f>
        <v/>
      </c>
      <c r="G164" s="8">
        <f>SUMPRODUCT(($A$2:$A$239=A164)*($B$2:$B$239=B164)*($D$2:$D$239&gt;D164))+1</f>
        <v/>
      </c>
      <c r="H164" s="8">
        <f>SUMPRODUCT(($A$2:$A$239=A164)*($D$2:$D$239&gt;D164))+1</f>
        <v/>
      </c>
    </row>
    <row r="165">
      <c r="A165" s="10" t="inlineStr">
        <is>
          <t>Simulado 02</t>
        </is>
      </c>
      <c r="B165" s="10" t="inlineStr">
        <is>
          <t>7ª Fase</t>
        </is>
      </c>
      <c r="C165" s="10" t="inlineStr">
        <is>
          <t>Jaqueline Klagemberg</t>
        </is>
      </c>
      <c r="D165" s="11" t="n">
        <v>29</v>
      </c>
      <c r="E165" s="11" t="n">
        <v>60</v>
      </c>
      <c r="F165" s="12">
        <f>IF(E165=0,"",D165/E165)</f>
        <v/>
      </c>
      <c r="G165" s="11">
        <f>SUMPRODUCT(($A$2:$A$239=A165)*($B$2:$B$239=B165)*($D$2:$D$239&gt;D165))+1</f>
        <v/>
      </c>
      <c r="H165" s="11">
        <f>SUMPRODUCT(($A$2:$A$239=A165)*($D$2:$D$239&gt;D165))+1</f>
        <v/>
      </c>
    </row>
    <row r="166">
      <c r="A166" s="7" t="inlineStr">
        <is>
          <t>Simulado 02</t>
        </is>
      </c>
      <c r="B166" s="7" t="inlineStr">
        <is>
          <t>7ª Fase</t>
        </is>
      </c>
      <c r="C166" s="7" t="inlineStr">
        <is>
          <t>Jaqueline Vansuita</t>
        </is>
      </c>
      <c r="D166" s="8" t="n">
        <v>37</v>
      </c>
      <c r="E166" s="8" t="n">
        <v>60</v>
      </c>
      <c r="F166" s="9">
        <f>IF(E166=0,"",D166/E166)</f>
        <v/>
      </c>
      <c r="G166" s="8">
        <f>SUMPRODUCT(($A$2:$A$239=A166)*($B$2:$B$239=B166)*($D$2:$D$239&gt;D166))+1</f>
        <v/>
      </c>
      <c r="H166" s="8">
        <f>SUMPRODUCT(($A$2:$A$239=A166)*($D$2:$D$239&gt;D166))+1</f>
        <v/>
      </c>
    </row>
    <row r="167">
      <c r="A167" s="10" t="inlineStr">
        <is>
          <t>Simulado 02</t>
        </is>
      </c>
      <c r="B167" s="10" t="inlineStr">
        <is>
          <t>7ª Fase</t>
        </is>
      </c>
      <c r="C167" s="10" t="inlineStr">
        <is>
          <t>Kalessa Pereira Menegusse</t>
        </is>
      </c>
      <c r="D167" s="11" t="n">
        <v>33</v>
      </c>
      <c r="E167" s="11" t="n">
        <v>60</v>
      </c>
      <c r="F167" s="12">
        <f>IF(E167=0,"",D167/E167)</f>
        <v/>
      </c>
      <c r="G167" s="11">
        <f>SUMPRODUCT(($A$2:$A$239=A167)*($B$2:$B$239=B167)*($D$2:$D$239&gt;D167))+1</f>
        <v/>
      </c>
      <c r="H167" s="11">
        <f>SUMPRODUCT(($A$2:$A$239=A167)*($D$2:$D$239&gt;D167))+1</f>
        <v/>
      </c>
    </row>
    <row r="168">
      <c r="A168" s="7" t="inlineStr">
        <is>
          <t>Simulado 02</t>
        </is>
      </c>
      <c r="B168" s="7" t="inlineStr">
        <is>
          <t>7ª Fase</t>
        </is>
      </c>
      <c r="C168" s="7" t="inlineStr">
        <is>
          <t>Kaylaine Rodrigues Almeida Andrade</t>
        </is>
      </c>
      <c r="D168" s="8" t="n">
        <v>35</v>
      </c>
      <c r="E168" s="8" t="n">
        <v>60</v>
      </c>
      <c r="F168" s="9">
        <f>IF(E168=0,"",D168/E168)</f>
        <v/>
      </c>
      <c r="G168" s="8">
        <f>SUMPRODUCT(($A$2:$A$239=A168)*($B$2:$B$239=B168)*($D$2:$D$239&gt;D168))+1</f>
        <v/>
      </c>
      <c r="H168" s="8">
        <f>SUMPRODUCT(($A$2:$A$239=A168)*($D$2:$D$239&gt;D168))+1</f>
        <v/>
      </c>
    </row>
    <row r="169">
      <c r="A169" s="10" t="inlineStr">
        <is>
          <t>Simulado 02</t>
        </is>
      </c>
      <c r="B169" s="10" t="inlineStr">
        <is>
          <t>7ª Fase</t>
        </is>
      </c>
      <c r="C169" s="10" t="inlineStr">
        <is>
          <t>Leandro Iomes de Souza</t>
        </is>
      </c>
      <c r="D169" s="11" t="n">
        <v>37</v>
      </c>
      <c r="E169" s="11" t="n">
        <v>60</v>
      </c>
      <c r="F169" s="12">
        <f>IF(E169=0,"",D169/E169)</f>
        <v/>
      </c>
      <c r="G169" s="11">
        <f>SUMPRODUCT(($A$2:$A$239=A169)*($B$2:$B$239=B169)*($D$2:$D$239&gt;D169))+1</f>
        <v/>
      </c>
      <c r="H169" s="11">
        <f>SUMPRODUCT(($A$2:$A$239=A169)*($D$2:$D$239&gt;D169))+1</f>
        <v/>
      </c>
    </row>
    <row r="170">
      <c r="A170" s="7" t="inlineStr">
        <is>
          <t>Simulado 02</t>
        </is>
      </c>
      <c r="B170" s="7" t="inlineStr">
        <is>
          <t>7ª Fase</t>
        </is>
      </c>
      <c r="C170" s="7" t="inlineStr">
        <is>
          <t>Luísa Fronza Gomes</t>
        </is>
      </c>
      <c r="D170" s="8" t="n">
        <v>37</v>
      </c>
      <c r="E170" s="8" t="n">
        <v>60</v>
      </c>
      <c r="F170" s="9">
        <f>IF(E170=0,"",D170/E170)</f>
        <v/>
      </c>
      <c r="G170" s="8">
        <f>SUMPRODUCT(($A$2:$A$239=A170)*($B$2:$B$239=B170)*($D$2:$D$239&gt;D170))+1</f>
        <v/>
      </c>
      <c r="H170" s="8">
        <f>SUMPRODUCT(($A$2:$A$239=A170)*($D$2:$D$239&gt;D170))+1</f>
        <v/>
      </c>
    </row>
    <row r="171">
      <c r="A171" s="10" t="inlineStr">
        <is>
          <t>Simulado 02</t>
        </is>
      </c>
      <c r="B171" s="10" t="inlineStr">
        <is>
          <t>7ª Fase</t>
        </is>
      </c>
      <c r="C171" s="10" t="inlineStr">
        <is>
          <t>Manuella Knop dos Passos</t>
        </is>
      </c>
      <c r="D171" s="11" t="n">
        <v>35</v>
      </c>
      <c r="E171" s="11" t="n">
        <v>60</v>
      </c>
      <c r="F171" s="12">
        <f>IF(E171=0,"",D171/E171)</f>
        <v/>
      </c>
      <c r="G171" s="11">
        <f>SUMPRODUCT(($A$2:$A$239=A171)*($B$2:$B$239=B171)*($D$2:$D$239&gt;D171))+1</f>
        <v/>
      </c>
      <c r="H171" s="11">
        <f>SUMPRODUCT(($A$2:$A$239=A171)*($D$2:$D$239&gt;D171))+1</f>
        <v/>
      </c>
    </row>
    <row r="172">
      <c r="A172" s="7" t="inlineStr">
        <is>
          <t>Simulado 02</t>
        </is>
      </c>
      <c r="B172" s="7" t="inlineStr">
        <is>
          <t>7ª Fase</t>
        </is>
      </c>
      <c r="C172" s="7" t="inlineStr">
        <is>
          <t>Maria Luísa Ceolin Xavier da Silveira</t>
        </is>
      </c>
      <c r="D172" s="8" t="n">
        <v>34</v>
      </c>
      <c r="E172" s="8" t="n">
        <v>60</v>
      </c>
      <c r="F172" s="9">
        <f>IF(E172=0,"",D172/E172)</f>
        <v/>
      </c>
      <c r="G172" s="8">
        <f>SUMPRODUCT(($A$2:$A$239=A172)*($B$2:$B$239=B172)*($D$2:$D$239&gt;D172))+1</f>
        <v/>
      </c>
      <c r="H172" s="8">
        <f>SUMPRODUCT(($A$2:$A$239=A172)*($D$2:$D$239&gt;D172))+1</f>
        <v/>
      </c>
    </row>
    <row r="173">
      <c r="A173" s="10" t="inlineStr">
        <is>
          <t>Simulado 02</t>
        </is>
      </c>
      <c r="B173" s="10" t="inlineStr">
        <is>
          <t>7ª Fase</t>
        </is>
      </c>
      <c r="C173" s="10" t="inlineStr">
        <is>
          <t>Milena Ferreira de Souza</t>
        </is>
      </c>
      <c r="D173" s="11" t="n">
        <v>37</v>
      </c>
      <c r="E173" s="11" t="n">
        <v>60</v>
      </c>
      <c r="F173" s="12">
        <f>IF(E173=0,"",D173/E173)</f>
        <v/>
      </c>
      <c r="G173" s="11">
        <f>SUMPRODUCT(($A$2:$A$239=A173)*($B$2:$B$239=B173)*($D$2:$D$239&gt;D173))+1</f>
        <v/>
      </c>
      <c r="H173" s="11">
        <f>SUMPRODUCT(($A$2:$A$239=A173)*($D$2:$D$239&gt;D173))+1</f>
        <v/>
      </c>
    </row>
    <row r="174">
      <c r="A174" s="7" t="inlineStr">
        <is>
          <t>Simulado 02</t>
        </is>
      </c>
      <c r="B174" s="7" t="inlineStr">
        <is>
          <t>7ª Fase</t>
        </is>
      </c>
      <c r="C174" s="7" t="inlineStr">
        <is>
          <t>Milena Goedert</t>
        </is>
      </c>
      <c r="D174" s="8" t="n">
        <v>40</v>
      </c>
      <c r="E174" s="8" t="n">
        <v>60</v>
      </c>
      <c r="F174" s="9">
        <f>IF(E174=0,"",D174/E174)</f>
        <v/>
      </c>
      <c r="G174" s="8">
        <f>SUMPRODUCT(($A$2:$A$239=A174)*($B$2:$B$239=B174)*($D$2:$D$239&gt;D174))+1</f>
        <v/>
      </c>
      <c r="H174" s="8">
        <f>SUMPRODUCT(($A$2:$A$239=A174)*($D$2:$D$239&gt;D174))+1</f>
        <v/>
      </c>
    </row>
    <row r="175">
      <c r="A175" s="10" t="inlineStr">
        <is>
          <t>Simulado 02</t>
        </is>
      </c>
      <c r="B175" s="10" t="inlineStr">
        <is>
          <t>7ª Fase</t>
        </is>
      </c>
      <c r="C175" s="10" t="inlineStr">
        <is>
          <t>Millena Laurindo</t>
        </is>
      </c>
      <c r="D175" s="11" t="n">
        <v>35</v>
      </c>
      <c r="E175" s="11" t="n">
        <v>60</v>
      </c>
      <c r="F175" s="12">
        <f>IF(E175=0,"",D175/E175)</f>
        <v/>
      </c>
      <c r="G175" s="11">
        <f>SUMPRODUCT(($A$2:$A$239=A175)*($B$2:$B$239=B175)*($D$2:$D$239&gt;D175))+1</f>
        <v/>
      </c>
      <c r="H175" s="11">
        <f>SUMPRODUCT(($A$2:$A$239=A175)*($D$2:$D$239&gt;D175))+1</f>
        <v/>
      </c>
    </row>
    <row r="176">
      <c r="A176" s="7" t="inlineStr">
        <is>
          <t>Simulado 02</t>
        </is>
      </c>
      <c r="B176" s="7" t="inlineStr">
        <is>
          <t>7ª Fase</t>
        </is>
      </c>
      <c r="C176" s="7" t="inlineStr">
        <is>
          <t>Rodrigo Voigt Filho</t>
        </is>
      </c>
      <c r="D176" s="8" t="n">
        <v>40</v>
      </c>
      <c r="E176" s="8" t="n">
        <v>60</v>
      </c>
      <c r="F176" s="9">
        <f>IF(E176=0,"",D176/E176)</f>
        <v/>
      </c>
      <c r="G176" s="8">
        <f>SUMPRODUCT(($A$2:$A$239=A176)*($B$2:$B$239=B176)*($D$2:$D$239&gt;D176))+1</f>
        <v/>
      </c>
      <c r="H176" s="8">
        <f>SUMPRODUCT(($A$2:$A$239=A176)*($D$2:$D$239&gt;D176))+1</f>
        <v/>
      </c>
    </row>
    <row r="177">
      <c r="A177" s="10" t="inlineStr">
        <is>
          <t>Simulado 02</t>
        </is>
      </c>
      <c r="B177" s="10" t="inlineStr">
        <is>
          <t>7ª Fase</t>
        </is>
      </c>
      <c r="C177" s="10" t="inlineStr">
        <is>
          <t>Sofia Venturi</t>
        </is>
      </c>
      <c r="D177" s="11" t="n">
        <v>30</v>
      </c>
      <c r="E177" s="11" t="n">
        <v>60</v>
      </c>
      <c r="F177" s="12">
        <f>IF(E177=0,"",D177/E177)</f>
        <v/>
      </c>
      <c r="G177" s="11">
        <f>SUMPRODUCT(($A$2:$A$239=A177)*($B$2:$B$239=B177)*($D$2:$D$239&gt;D177))+1</f>
        <v/>
      </c>
      <c r="H177" s="11">
        <f>SUMPRODUCT(($A$2:$A$239=A177)*($D$2:$D$239&gt;D177))+1</f>
        <v/>
      </c>
    </row>
    <row r="178">
      <c r="A178" s="7" t="inlineStr">
        <is>
          <t>Simulado 02</t>
        </is>
      </c>
      <c r="B178" s="7" t="inlineStr">
        <is>
          <t>7ª Fase</t>
        </is>
      </c>
      <c r="C178" s="7" t="inlineStr">
        <is>
          <t>Suelen Dias Clasen</t>
        </is>
      </c>
      <c r="D178" s="8" t="n">
        <v>41</v>
      </c>
      <c r="E178" s="8" t="n">
        <v>60</v>
      </c>
      <c r="F178" s="9">
        <f>IF(E178=0,"",D178/E178)</f>
        <v/>
      </c>
      <c r="G178" s="8">
        <f>SUMPRODUCT(($A$2:$A$239=A178)*($B$2:$B$239=B178)*($D$2:$D$239&gt;D178))+1</f>
        <v/>
      </c>
      <c r="H178" s="8">
        <f>SUMPRODUCT(($A$2:$A$239=A178)*($D$2:$D$239&gt;D178))+1</f>
        <v/>
      </c>
    </row>
    <row r="179">
      <c r="A179" s="10" t="inlineStr">
        <is>
          <t>Simulado 02</t>
        </is>
      </c>
      <c r="B179" s="10" t="inlineStr">
        <is>
          <t>7ª Fase</t>
        </is>
      </c>
      <c r="C179" s="10" t="inlineStr">
        <is>
          <t>Victória Gabriela Wetzstein</t>
        </is>
      </c>
      <c r="D179" s="11" t="n">
        <v>37</v>
      </c>
      <c r="E179" s="11" t="n">
        <v>60</v>
      </c>
      <c r="F179" s="12">
        <f>IF(E179=0,"",D179/E179)</f>
        <v/>
      </c>
      <c r="G179" s="11">
        <f>SUMPRODUCT(($A$2:$A$239=A179)*($B$2:$B$239=B179)*($D$2:$D$239&gt;D179))+1</f>
        <v/>
      </c>
      <c r="H179" s="11">
        <f>SUMPRODUCT(($A$2:$A$239=A179)*($D$2:$D$239&gt;D179))+1</f>
        <v/>
      </c>
    </row>
    <row r="180">
      <c r="A180" s="7" t="inlineStr">
        <is>
          <t>Simulado 02</t>
        </is>
      </c>
      <c r="B180" s="7" t="inlineStr">
        <is>
          <t>10ª Fase</t>
        </is>
      </c>
      <c r="C180" s="7" t="inlineStr">
        <is>
          <t>Aline Agostini</t>
        </is>
      </c>
      <c r="D180" s="8" t="n">
        <v>38</v>
      </c>
      <c r="E180" s="8" t="n">
        <v>60</v>
      </c>
      <c r="F180" s="9">
        <f>IF(E180=0,"",D180/E180)</f>
        <v/>
      </c>
      <c r="G180" s="8">
        <f>SUMPRODUCT(($A$2:$A$239=A180)*($B$2:$B$239=B180)*($D$2:$D$239&gt;D180))+1</f>
        <v/>
      </c>
      <c r="H180" s="8">
        <f>SUMPRODUCT(($A$2:$A$239=A180)*($D$2:$D$239&gt;D180))+1</f>
        <v/>
      </c>
    </row>
    <row r="181">
      <c r="A181" s="10" t="inlineStr">
        <is>
          <t>Simulado 02</t>
        </is>
      </c>
      <c r="B181" s="10" t="inlineStr">
        <is>
          <t>10ª Fase</t>
        </is>
      </c>
      <c r="C181" s="10" t="inlineStr">
        <is>
          <t>Brenda Cristina Albino</t>
        </is>
      </c>
      <c r="D181" s="11" t="n">
        <v>42</v>
      </c>
      <c r="E181" s="11" t="n">
        <v>60</v>
      </c>
      <c r="F181" s="12">
        <f>IF(E181=0,"",D181/E181)</f>
        <v/>
      </c>
      <c r="G181" s="11">
        <f>SUMPRODUCT(($A$2:$A$239=A181)*($B$2:$B$239=B181)*($D$2:$D$239&gt;D181))+1</f>
        <v/>
      </c>
      <c r="H181" s="11">
        <f>SUMPRODUCT(($A$2:$A$239=A181)*($D$2:$D$239&gt;D181))+1</f>
        <v/>
      </c>
    </row>
    <row r="182">
      <c r="A182" s="7" t="inlineStr">
        <is>
          <t>Simulado 02</t>
        </is>
      </c>
      <c r="B182" s="7" t="inlineStr">
        <is>
          <t>10ª Fase</t>
        </is>
      </c>
      <c r="C182" s="7" t="inlineStr">
        <is>
          <t>Camila Cabral de Souza</t>
        </is>
      </c>
      <c r="D182" s="8" t="n">
        <v>40</v>
      </c>
      <c r="E182" s="8" t="n">
        <v>60</v>
      </c>
      <c r="F182" s="9">
        <f>IF(E182=0,"",D182/E182)</f>
        <v/>
      </c>
      <c r="G182" s="8">
        <f>SUMPRODUCT(($A$2:$A$239=A182)*($B$2:$B$239=B182)*($D$2:$D$239&gt;D182))+1</f>
        <v/>
      </c>
      <c r="H182" s="8">
        <f>SUMPRODUCT(($A$2:$A$239=A182)*($D$2:$D$239&gt;D182))+1</f>
        <v/>
      </c>
    </row>
    <row r="183">
      <c r="A183" s="10" t="inlineStr">
        <is>
          <t>Simulado 02</t>
        </is>
      </c>
      <c r="B183" s="10" t="inlineStr">
        <is>
          <t>10ª Fase</t>
        </is>
      </c>
      <c r="C183" s="10" t="inlineStr">
        <is>
          <t>Camila Debatin</t>
        </is>
      </c>
      <c r="D183" s="11" t="n">
        <v>22</v>
      </c>
      <c r="E183" s="11" t="n">
        <v>60</v>
      </c>
      <c r="F183" s="12">
        <f>IF(E183=0,"",D183/E183)</f>
        <v/>
      </c>
      <c r="G183" s="11">
        <f>SUMPRODUCT(($A$2:$A$239=A183)*($B$2:$B$239=B183)*($D$2:$D$239&gt;D183))+1</f>
        <v/>
      </c>
      <c r="H183" s="11">
        <f>SUMPRODUCT(($A$2:$A$239=A183)*($D$2:$D$239&gt;D183))+1</f>
        <v/>
      </c>
    </row>
    <row r="184">
      <c r="A184" s="7" t="inlineStr">
        <is>
          <t>Simulado 02</t>
        </is>
      </c>
      <c r="B184" s="7" t="inlineStr">
        <is>
          <t>10ª Fase</t>
        </is>
      </c>
      <c r="C184" s="7" t="inlineStr">
        <is>
          <t>Daniely Aparecida Steinheisen</t>
        </is>
      </c>
      <c r="D184" s="8" t="n">
        <v>29</v>
      </c>
      <c r="E184" s="8" t="n">
        <v>60</v>
      </c>
      <c r="F184" s="9">
        <f>IF(E184=0,"",D184/E184)</f>
        <v/>
      </c>
      <c r="G184" s="8">
        <f>SUMPRODUCT(($A$2:$A$239=A184)*($B$2:$B$239=B184)*($D$2:$D$239&gt;D184))+1</f>
        <v/>
      </c>
      <c r="H184" s="8">
        <f>SUMPRODUCT(($A$2:$A$239=A184)*($D$2:$D$239&gt;D184))+1</f>
        <v/>
      </c>
    </row>
    <row r="185">
      <c r="A185" s="10" t="inlineStr">
        <is>
          <t>Simulado 02</t>
        </is>
      </c>
      <c r="B185" s="10" t="inlineStr">
        <is>
          <t>10ª Fase</t>
        </is>
      </c>
      <c r="C185" s="10" t="inlineStr">
        <is>
          <t>Eduardo Miguel Panizzon</t>
        </is>
      </c>
      <c r="D185" s="11" t="n">
        <v>46</v>
      </c>
      <c r="E185" s="11" t="n">
        <v>60</v>
      </c>
      <c r="F185" s="12">
        <f>IF(E185=0,"",D185/E185)</f>
        <v/>
      </c>
      <c r="G185" s="11">
        <f>SUMPRODUCT(($A$2:$A$239=A185)*($B$2:$B$239=B185)*($D$2:$D$239&gt;D185))+1</f>
        <v/>
      </c>
      <c r="H185" s="11">
        <f>SUMPRODUCT(($A$2:$A$239=A185)*($D$2:$D$239&gt;D185))+1</f>
        <v/>
      </c>
    </row>
    <row r="186">
      <c r="A186" s="7" t="inlineStr">
        <is>
          <t>Simulado 02</t>
        </is>
      </c>
      <c r="B186" s="7" t="inlineStr">
        <is>
          <t>10ª Fase</t>
        </is>
      </c>
      <c r="C186" s="7" t="inlineStr">
        <is>
          <t>Émerson Roberto Bratz</t>
        </is>
      </c>
      <c r="D186" s="8" t="n">
        <v>45</v>
      </c>
      <c r="E186" s="8" t="n">
        <v>60</v>
      </c>
      <c r="F186" s="9">
        <f>IF(E186=0,"",D186/E186)</f>
        <v/>
      </c>
      <c r="G186" s="8">
        <f>SUMPRODUCT(($A$2:$A$239=A186)*($B$2:$B$239=B186)*($D$2:$D$239&gt;D186))+1</f>
        <v/>
      </c>
      <c r="H186" s="8">
        <f>SUMPRODUCT(($A$2:$A$239=A186)*($D$2:$D$239&gt;D186))+1</f>
        <v/>
      </c>
    </row>
    <row r="187">
      <c r="A187" s="10" t="inlineStr">
        <is>
          <t>Simulado 02</t>
        </is>
      </c>
      <c r="B187" s="10" t="inlineStr">
        <is>
          <t>10ª Fase</t>
        </is>
      </c>
      <c r="C187" s="10" t="inlineStr">
        <is>
          <t>Gabriel Olivo Leandro</t>
        </is>
      </c>
      <c r="D187" s="11" t="n">
        <v>34</v>
      </c>
      <c r="E187" s="11" t="n">
        <v>60</v>
      </c>
      <c r="F187" s="12">
        <f>IF(E187=0,"",D187/E187)</f>
        <v/>
      </c>
      <c r="G187" s="11">
        <f>SUMPRODUCT(($A$2:$A$239=A187)*($B$2:$B$239=B187)*($D$2:$D$239&gt;D187))+1</f>
        <v/>
      </c>
      <c r="H187" s="11">
        <f>SUMPRODUCT(($A$2:$A$239=A187)*($D$2:$D$239&gt;D187))+1</f>
        <v/>
      </c>
    </row>
    <row r="188">
      <c r="A188" s="7" t="inlineStr">
        <is>
          <t>Simulado 02</t>
        </is>
      </c>
      <c r="B188" s="7" t="inlineStr">
        <is>
          <t>10ª Fase</t>
        </is>
      </c>
      <c r="C188" s="7" t="inlineStr">
        <is>
          <t>Isadora Ceregatti Correia</t>
        </is>
      </c>
      <c r="D188" s="8" t="n">
        <v>39</v>
      </c>
      <c r="E188" s="8" t="n">
        <v>60</v>
      </c>
      <c r="F188" s="9">
        <f>IF(E188=0,"",D188/E188)</f>
        <v/>
      </c>
      <c r="G188" s="8">
        <f>SUMPRODUCT(($A$2:$A$239=A188)*($B$2:$B$239=B188)*($D$2:$D$239&gt;D188))+1</f>
        <v/>
      </c>
      <c r="H188" s="8">
        <f>SUMPRODUCT(($A$2:$A$239=A188)*($D$2:$D$239&gt;D188))+1</f>
        <v/>
      </c>
    </row>
    <row r="189">
      <c r="A189" s="10" t="inlineStr">
        <is>
          <t>Simulado 02</t>
        </is>
      </c>
      <c r="B189" s="10" t="inlineStr">
        <is>
          <t>10ª Fase</t>
        </is>
      </c>
      <c r="C189" s="10" t="inlineStr">
        <is>
          <t>Isadora Faedo Thives</t>
        </is>
      </c>
      <c r="D189" s="11" t="n">
        <v>34</v>
      </c>
      <c r="E189" s="11" t="n">
        <v>60</v>
      </c>
      <c r="F189" s="12">
        <f>IF(E189=0,"",D189/E189)</f>
        <v/>
      </c>
      <c r="G189" s="11">
        <f>SUMPRODUCT(($A$2:$A$239=A189)*($B$2:$B$239=B189)*($D$2:$D$239&gt;D189))+1</f>
        <v/>
      </c>
      <c r="H189" s="11">
        <f>SUMPRODUCT(($A$2:$A$239=A189)*($D$2:$D$239&gt;D189))+1</f>
        <v/>
      </c>
    </row>
    <row r="190">
      <c r="A190" s="7" t="inlineStr">
        <is>
          <t>Simulado 02</t>
        </is>
      </c>
      <c r="B190" s="7" t="inlineStr">
        <is>
          <t>10ª Fase</t>
        </is>
      </c>
      <c r="C190" s="7" t="inlineStr">
        <is>
          <t>Isadora Gonçalves</t>
        </is>
      </c>
      <c r="D190" s="8" t="n">
        <v>36</v>
      </c>
      <c r="E190" s="8" t="n">
        <v>60</v>
      </c>
      <c r="F190" s="9">
        <f>IF(E190=0,"",D190/E190)</f>
        <v/>
      </c>
      <c r="G190" s="8">
        <f>SUMPRODUCT(($A$2:$A$239=A190)*($B$2:$B$239=B190)*($D$2:$D$239&gt;D190))+1</f>
        <v/>
      </c>
      <c r="H190" s="8">
        <f>SUMPRODUCT(($A$2:$A$239=A190)*($D$2:$D$239&gt;D190))+1</f>
        <v/>
      </c>
    </row>
    <row r="191">
      <c r="A191" s="10" t="inlineStr">
        <is>
          <t>Simulado 02</t>
        </is>
      </c>
      <c r="B191" s="10" t="inlineStr">
        <is>
          <t>10ª Fase</t>
        </is>
      </c>
      <c r="C191" s="10" t="inlineStr">
        <is>
          <t>Júlia Cremonini Bernardi</t>
        </is>
      </c>
      <c r="D191" s="11" t="n">
        <v>37</v>
      </c>
      <c r="E191" s="11" t="n">
        <v>60</v>
      </c>
      <c r="F191" s="12">
        <f>IF(E191=0,"",D191/E191)</f>
        <v/>
      </c>
      <c r="G191" s="11">
        <f>SUMPRODUCT(($A$2:$A$239=A191)*($B$2:$B$239=B191)*($D$2:$D$239&gt;D191))+1</f>
        <v/>
      </c>
      <c r="H191" s="11">
        <f>SUMPRODUCT(($A$2:$A$239=A191)*($D$2:$D$239&gt;D191))+1</f>
        <v/>
      </c>
    </row>
    <row r="192">
      <c r="A192" s="7" t="inlineStr">
        <is>
          <t>Simulado 02</t>
        </is>
      </c>
      <c r="B192" s="7" t="inlineStr">
        <is>
          <t>10ª Fase</t>
        </is>
      </c>
      <c r="C192" s="7" t="inlineStr">
        <is>
          <t>Julya Lemos de Moraes</t>
        </is>
      </c>
      <c r="D192" s="8" t="n">
        <v>35</v>
      </c>
      <c r="E192" s="8" t="n">
        <v>60</v>
      </c>
      <c r="F192" s="9">
        <f>IF(E192=0,"",D192/E192)</f>
        <v/>
      </c>
      <c r="G192" s="8">
        <f>SUMPRODUCT(($A$2:$A$239=A192)*($B$2:$B$239=B192)*($D$2:$D$239&gt;D192))+1</f>
        <v/>
      </c>
      <c r="H192" s="8">
        <f>SUMPRODUCT(($A$2:$A$239=A192)*($D$2:$D$239&gt;D192))+1</f>
        <v/>
      </c>
    </row>
    <row r="193">
      <c r="A193" s="10" t="inlineStr">
        <is>
          <t>Simulado 02</t>
        </is>
      </c>
      <c r="B193" s="10" t="inlineStr">
        <is>
          <t>10ª Fase</t>
        </is>
      </c>
      <c r="C193" s="10" t="inlineStr">
        <is>
          <t>Kerollin Waltrick da Silva</t>
        </is>
      </c>
      <c r="D193" s="11" t="n">
        <v>39</v>
      </c>
      <c r="E193" s="11" t="n">
        <v>60</v>
      </c>
      <c r="F193" s="12">
        <f>IF(E193=0,"",D193/E193)</f>
        <v/>
      </c>
      <c r="G193" s="11">
        <f>SUMPRODUCT(($A$2:$A$239=A193)*($B$2:$B$239=B193)*($D$2:$D$239&gt;D193))+1</f>
        <v/>
      </c>
      <c r="H193" s="11">
        <f>SUMPRODUCT(($A$2:$A$239=A193)*($D$2:$D$239&gt;D193))+1</f>
        <v/>
      </c>
    </row>
    <row r="194">
      <c r="A194" s="7" t="inlineStr">
        <is>
          <t>Simulado 02</t>
        </is>
      </c>
      <c r="B194" s="7" t="inlineStr">
        <is>
          <t>10ª Fase</t>
        </is>
      </c>
      <c r="C194" s="7" t="inlineStr">
        <is>
          <t>Livia Luersen Sousa</t>
        </is>
      </c>
      <c r="D194" s="8" t="n">
        <v>38</v>
      </c>
      <c r="E194" s="8" t="n">
        <v>60</v>
      </c>
      <c r="F194" s="9">
        <f>IF(E194=0,"",D194/E194)</f>
        <v/>
      </c>
      <c r="G194" s="8">
        <f>SUMPRODUCT(($A$2:$A$239=A194)*($B$2:$B$239=B194)*($D$2:$D$239&gt;D194))+1</f>
        <v/>
      </c>
      <c r="H194" s="8">
        <f>SUMPRODUCT(($A$2:$A$239=A194)*($D$2:$D$239&gt;D194))+1</f>
        <v/>
      </c>
    </row>
    <row r="195">
      <c r="A195" s="10" t="inlineStr">
        <is>
          <t>Simulado 02</t>
        </is>
      </c>
      <c r="B195" s="10" t="inlineStr">
        <is>
          <t>10ª Fase</t>
        </is>
      </c>
      <c r="C195" s="10" t="inlineStr">
        <is>
          <t>Luana Zytkoski Zanon</t>
        </is>
      </c>
      <c r="D195" s="11" t="n">
        <v>43</v>
      </c>
      <c r="E195" s="11" t="n">
        <v>60</v>
      </c>
      <c r="F195" s="12">
        <f>IF(E195=0,"",D195/E195)</f>
        <v/>
      </c>
      <c r="G195" s="11">
        <f>SUMPRODUCT(($A$2:$A$239=A195)*($B$2:$B$239=B195)*($D$2:$D$239&gt;D195))+1</f>
        <v/>
      </c>
      <c r="H195" s="11">
        <f>SUMPRODUCT(($A$2:$A$239=A195)*($D$2:$D$239&gt;D195))+1</f>
        <v/>
      </c>
    </row>
    <row r="196">
      <c r="A196" s="7" t="inlineStr">
        <is>
          <t>Simulado 02</t>
        </is>
      </c>
      <c r="B196" s="7" t="inlineStr">
        <is>
          <t>10ª Fase</t>
        </is>
      </c>
      <c r="C196" s="7" t="inlineStr">
        <is>
          <t>Lucas Eduardo dos Santos Viana</t>
        </is>
      </c>
      <c r="D196" s="8" t="n">
        <v>44</v>
      </c>
      <c r="E196" s="8" t="n">
        <v>60</v>
      </c>
      <c r="F196" s="9">
        <f>IF(E196=0,"",D196/E196)</f>
        <v/>
      </c>
      <c r="G196" s="8">
        <f>SUMPRODUCT(($A$2:$A$239=A196)*($B$2:$B$239=B196)*($D$2:$D$239&gt;D196))+1</f>
        <v/>
      </c>
      <c r="H196" s="8">
        <f>SUMPRODUCT(($A$2:$A$239=A196)*($D$2:$D$239&gt;D196))+1</f>
        <v/>
      </c>
    </row>
    <row r="197">
      <c r="A197" s="10" t="inlineStr">
        <is>
          <t>Simulado 02</t>
        </is>
      </c>
      <c r="B197" s="10" t="inlineStr">
        <is>
          <t>10ª Fase</t>
        </is>
      </c>
      <c r="C197" s="10" t="inlineStr">
        <is>
          <t>Luis Eduardo Bigolin Folador</t>
        </is>
      </c>
      <c r="D197" s="11" t="n">
        <v>43</v>
      </c>
      <c r="E197" s="11" t="n">
        <v>60</v>
      </c>
      <c r="F197" s="12">
        <f>IF(E197=0,"",D197/E197)</f>
        <v/>
      </c>
      <c r="G197" s="11">
        <f>SUMPRODUCT(($A$2:$A$239=A197)*($B$2:$B$239=B197)*($D$2:$D$239&gt;D197))+1</f>
        <v/>
      </c>
      <c r="H197" s="11">
        <f>SUMPRODUCT(($A$2:$A$239=A197)*($D$2:$D$239&gt;D197))+1</f>
        <v/>
      </c>
    </row>
    <row r="198">
      <c r="A198" s="7" t="inlineStr">
        <is>
          <t>Simulado 02</t>
        </is>
      </c>
      <c r="B198" s="7" t="inlineStr">
        <is>
          <t>10ª Fase</t>
        </is>
      </c>
      <c r="C198" s="7" t="inlineStr">
        <is>
          <t>Luisa Cristina Matê</t>
        </is>
      </c>
      <c r="D198" s="8" t="n">
        <v>40</v>
      </c>
      <c r="E198" s="8" t="n">
        <v>60</v>
      </c>
      <c r="F198" s="9">
        <f>IF(E198=0,"",D198/E198)</f>
        <v/>
      </c>
      <c r="G198" s="8">
        <f>SUMPRODUCT(($A$2:$A$239=A198)*($B$2:$B$239=B198)*($D$2:$D$239&gt;D198))+1</f>
        <v/>
      </c>
      <c r="H198" s="8">
        <f>SUMPRODUCT(($A$2:$A$239=A198)*($D$2:$D$239&gt;D198))+1</f>
        <v/>
      </c>
    </row>
    <row r="199">
      <c r="A199" s="10" t="inlineStr">
        <is>
          <t>Simulado 02</t>
        </is>
      </c>
      <c r="B199" s="10" t="inlineStr">
        <is>
          <t>10ª Fase</t>
        </is>
      </c>
      <c r="C199" s="10" t="inlineStr">
        <is>
          <t>Maria Eduarda Medeiros Machado</t>
        </is>
      </c>
      <c r="D199" s="11" t="n">
        <v>35</v>
      </c>
      <c r="E199" s="11" t="n">
        <v>60</v>
      </c>
      <c r="F199" s="12">
        <f>IF(E199=0,"",D199/E199)</f>
        <v/>
      </c>
      <c r="G199" s="11">
        <f>SUMPRODUCT(($A$2:$A$239=A199)*($B$2:$B$239=B199)*($D$2:$D$239&gt;D199))+1</f>
        <v/>
      </c>
      <c r="H199" s="11">
        <f>SUMPRODUCT(($A$2:$A$239=A199)*($D$2:$D$239&gt;D199))+1</f>
        <v/>
      </c>
    </row>
    <row r="200">
      <c r="A200" s="7" t="inlineStr">
        <is>
          <t>Simulado 02</t>
        </is>
      </c>
      <c r="B200" s="7" t="inlineStr">
        <is>
          <t>10ª Fase</t>
        </is>
      </c>
      <c r="C200" s="7" t="inlineStr">
        <is>
          <t>Maria Eduarda Molinari</t>
        </is>
      </c>
      <c r="D200" s="8" t="n">
        <v>41</v>
      </c>
      <c r="E200" s="8" t="n">
        <v>60</v>
      </c>
      <c r="F200" s="9">
        <f>IF(E200=0,"",D200/E200)</f>
        <v/>
      </c>
      <c r="G200" s="8">
        <f>SUMPRODUCT(($A$2:$A$239=A200)*($B$2:$B$239=B200)*($D$2:$D$239&gt;D200))+1</f>
        <v/>
      </c>
      <c r="H200" s="8">
        <f>SUMPRODUCT(($A$2:$A$239=A200)*($D$2:$D$239&gt;D200))+1</f>
        <v/>
      </c>
    </row>
    <row r="201">
      <c r="A201" s="10" t="inlineStr">
        <is>
          <t>Simulado 02</t>
        </is>
      </c>
      <c r="B201" s="10" t="inlineStr">
        <is>
          <t>10ª Fase</t>
        </is>
      </c>
      <c r="C201" s="10" t="inlineStr">
        <is>
          <t>Mariana Braatz Fagundes</t>
        </is>
      </c>
      <c r="D201" s="11" t="n">
        <v>33</v>
      </c>
      <c r="E201" s="11" t="n">
        <v>60</v>
      </c>
      <c r="F201" s="12">
        <f>IF(E201=0,"",D201/E201)</f>
        <v/>
      </c>
      <c r="G201" s="11">
        <f>SUMPRODUCT(($A$2:$A$239=A201)*($B$2:$B$239=B201)*($D$2:$D$239&gt;D201))+1</f>
        <v/>
      </c>
      <c r="H201" s="11">
        <f>SUMPRODUCT(($A$2:$A$239=A201)*($D$2:$D$239&gt;D201))+1</f>
        <v/>
      </c>
    </row>
    <row r="202">
      <c r="A202" s="7" t="inlineStr">
        <is>
          <t>Simulado 02</t>
        </is>
      </c>
      <c r="B202" s="7" t="inlineStr">
        <is>
          <t>10ª Fase</t>
        </is>
      </c>
      <c r="C202" s="7" t="inlineStr">
        <is>
          <t>Marieva Niehues Anderle</t>
        </is>
      </c>
      <c r="D202" s="8" t="n">
        <v>34</v>
      </c>
      <c r="E202" s="8" t="n">
        <v>60</v>
      </c>
      <c r="F202" s="9">
        <f>IF(E202=0,"",D202/E202)</f>
        <v/>
      </c>
      <c r="G202" s="8">
        <f>SUMPRODUCT(($A$2:$A$239=A202)*($B$2:$B$239=B202)*($D$2:$D$239&gt;D202))+1</f>
        <v/>
      </c>
      <c r="H202" s="8">
        <f>SUMPRODUCT(($A$2:$A$239=A202)*($D$2:$D$239&gt;D202))+1</f>
        <v/>
      </c>
    </row>
    <row r="203">
      <c r="A203" s="10" t="inlineStr">
        <is>
          <t>Simulado 02</t>
        </is>
      </c>
      <c r="B203" s="10" t="inlineStr">
        <is>
          <t>10ª Fase</t>
        </is>
      </c>
      <c r="C203" s="10" t="inlineStr">
        <is>
          <t>Matheus Lazzarin Gramazio</t>
        </is>
      </c>
      <c r="D203" s="11" t="n">
        <v>40</v>
      </c>
      <c r="E203" s="11" t="n">
        <v>60</v>
      </c>
      <c r="F203" s="12">
        <f>IF(E203=0,"",D203/E203)</f>
        <v/>
      </c>
      <c r="G203" s="11">
        <f>SUMPRODUCT(($A$2:$A$239=A203)*($B$2:$B$239=B203)*($D$2:$D$239&gt;D203))+1</f>
        <v/>
      </c>
      <c r="H203" s="11">
        <f>SUMPRODUCT(($A$2:$A$239=A203)*($D$2:$D$239&gt;D203))+1</f>
        <v/>
      </c>
    </row>
    <row r="204">
      <c r="A204" s="7" t="inlineStr">
        <is>
          <t>Simulado 02</t>
        </is>
      </c>
      <c r="B204" s="7" t="inlineStr">
        <is>
          <t>10ª Fase</t>
        </is>
      </c>
      <c r="C204" s="7" t="inlineStr">
        <is>
          <t>Matheus Schmidt Rossini</t>
        </is>
      </c>
      <c r="D204" s="8" t="n">
        <v>36</v>
      </c>
      <c r="E204" s="8" t="n">
        <v>60</v>
      </c>
      <c r="F204" s="9">
        <f>IF(E204=0,"",D204/E204)</f>
        <v/>
      </c>
      <c r="G204" s="8">
        <f>SUMPRODUCT(($A$2:$A$239=A204)*($B$2:$B$239=B204)*($D$2:$D$239&gt;D204))+1</f>
        <v/>
      </c>
      <c r="H204" s="8">
        <f>SUMPRODUCT(($A$2:$A$239=A204)*($D$2:$D$239&gt;D204))+1</f>
        <v/>
      </c>
    </row>
    <row r="205">
      <c r="A205" s="10" t="inlineStr">
        <is>
          <t>Simulado 02</t>
        </is>
      </c>
      <c r="B205" s="10" t="inlineStr">
        <is>
          <t>10ª Fase</t>
        </is>
      </c>
      <c r="C205" s="10" t="inlineStr">
        <is>
          <t>Milena Marchi Bonacolsi</t>
        </is>
      </c>
      <c r="D205" s="11" t="n">
        <v>40</v>
      </c>
      <c r="E205" s="11" t="n">
        <v>60</v>
      </c>
      <c r="F205" s="12">
        <f>IF(E205=0,"",D205/E205)</f>
        <v/>
      </c>
      <c r="G205" s="11">
        <f>SUMPRODUCT(($A$2:$A$239=A205)*($B$2:$B$239=B205)*($D$2:$D$239&gt;D205))+1</f>
        <v/>
      </c>
      <c r="H205" s="11">
        <f>SUMPRODUCT(($A$2:$A$239=A205)*($D$2:$D$239&gt;D205))+1</f>
        <v/>
      </c>
    </row>
    <row r="206">
      <c r="A206" s="7" t="inlineStr">
        <is>
          <t>Simulado 02</t>
        </is>
      </c>
      <c r="B206" s="7" t="inlineStr">
        <is>
          <t>10ª Fase</t>
        </is>
      </c>
      <c r="C206" s="7" t="inlineStr">
        <is>
          <t>Nicoly Fiorese Andrade</t>
        </is>
      </c>
      <c r="D206" s="8" t="n">
        <v>35</v>
      </c>
      <c r="E206" s="8" t="n">
        <v>60</v>
      </c>
      <c r="F206" s="9">
        <f>IF(E206=0,"",D206/E206)</f>
        <v/>
      </c>
      <c r="G206" s="8">
        <f>SUMPRODUCT(($A$2:$A$239=A206)*($B$2:$B$239=B206)*($D$2:$D$239&gt;D206))+1</f>
        <v/>
      </c>
      <c r="H206" s="8">
        <f>SUMPRODUCT(($A$2:$A$239=A206)*($D$2:$D$239&gt;D206))+1</f>
        <v/>
      </c>
    </row>
    <row r="207">
      <c r="A207" s="10" t="inlineStr">
        <is>
          <t>Simulado 02</t>
        </is>
      </c>
      <c r="B207" s="10" t="inlineStr">
        <is>
          <t>10ª Fase</t>
        </is>
      </c>
      <c r="C207" s="10" t="inlineStr">
        <is>
          <t>Sanny Machado</t>
        </is>
      </c>
      <c r="D207" s="11" t="n">
        <v>39</v>
      </c>
      <c r="E207" s="11" t="n">
        <v>60</v>
      </c>
      <c r="F207" s="12">
        <f>IF(E207=0,"",D207/E207)</f>
        <v/>
      </c>
      <c r="G207" s="11">
        <f>SUMPRODUCT(($A$2:$A$239=A207)*($B$2:$B$239=B207)*($D$2:$D$239&gt;D207))+1</f>
        <v/>
      </c>
      <c r="H207" s="11">
        <f>SUMPRODUCT(($A$2:$A$239=A207)*($D$2:$D$239&gt;D207))+1</f>
        <v/>
      </c>
    </row>
    <row r="208">
      <c r="A208" s="7" t="inlineStr">
        <is>
          <t>Simulado 02</t>
        </is>
      </c>
      <c r="B208" s="7" t="inlineStr">
        <is>
          <t>10ª Fase</t>
        </is>
      </c>
      <c r="C208" s="7" t="inlineStr">
        <is>
          <t>Sofia Boldrini</t>
        </is>
      </c>
      <c r="D208" s="8" t="n">
        <v>40</v>
      </c>
      <c r="E208" s="8" t="n">
        <v>60</v>
      </c>
      <c r="F208" s="9">
        <f>IF(E208=0,"",D208/E208)</f>
        <v/>
      </c>
      <c r="G208" s="8">
        <f>SUMPRODUCT(($A$2:$A$239=A208)*($B$2:$B$239=B208)*($D$2:$D$239&gt;D208))+1</f>
        <v/>
      </c>
      <c r="H208" s="8">
        <f>SUMPRODUCT(($A$2:$A$239=A208)*($D$2:$D$239&gt;D208))+1</f>
        <v/>
      </c>
    </row>
    <row r="209">
      <c r="A209" s="10" t="inlineStr">
        <is>
          <t>Simulado 02</t>
        </is>
      </c>
      <c r="B209" s="10" t="inlineStr">
        <is>
          <t>10ª Fase</t>
        </is>
      </c>
      <c r="C209" s="10" t="inlineStr">
        <is>
          <t>Tassiane Thaisi Thiesen</t>
        </is>
      </c>
      <c r="D209" s="11" t="n">
        <v>44</v>
      </c>
      <c r="E209" s="11" t="n">
        <v>60</v>
      </c>
      <c r="F209" s="12">
        <f>IF(E209=0,"",D209/E209)</f>
        <v/>
      </c>
      <c r="G209" s="11">
        <f>SUMPRODUCT(($A$2:$A$239=A209)*($B$2:$B$239=B209)*($D$2:$D$239&gt;D209))+1</f>
        <v/>
      </c>
      <c r="H209" s="11">
        <f>SUMPRODUCT(($A$2:$A$239=A209)*($D$2:$D$239&gt;D209))+1</f>
        <v/>
      </c>
    </row>
    <row r="210">
      <c r="A210" s="7" t="inlineStr">
        <is>
          <t>Simulado 02</t>
        </is>
      </c>
      <c r="B210" s="7" t="inlineStr">
        <is>
          <t>10ª Fase</t>
        </is>
      </c>
      <c r="C210" s="7" t="inlineStr">
        <is>
          <t>Yasmin Primel Paludo</t>
        </is>
      </c>
      <c r="D210" s="8" t="n">
        <v>40</v>
      </c>
      <c r="E210" s="8" t="n">
        <v>60</v>
      </c>
      <c r="F210" s="9">
        <f>IF(E210=0,"",D210/E210)</f>
        <v/>
      </c>
      <c r="G210" s="8">
        <f>SUMPRODUCT(($A$2:$A$239=A210)*($B$2:$B$239=B210)*($D$2:$D$239&gt;D210))+1</f>
        <v/>
      </c>
      <c r="H210" s="8">
        <f>SUMPRODUCT(($A$2:$A$239=A210)*($D$2:$D$239&gt;D210))+1</f>
        <v/>
      </c>
    </row>
    <row r="211">
      <c r="A211" s="10" t="inlineStr">
        <is>
          <t>Simulado 02</t>
        </is>
      </c>
      <c r="B211" s="10" t="inlineStr">
        <is>
          <t>11ª Fase</t>
        </is>
      </c>
      <c r="C211" s="10" t="inlineStr">
        <is>
          <t>Ana Flavia Losi</t>
        </is>
      </c>
      <c r="D211" s="11" t="n">
        <v>42</v>
      </c>
      <c r="E211" s="11" t="n">
        <v>60</v>
      </c>
      <c r="F211" s="12">
        <f>IF(E211=0,"",D211/E211)</f>
        <v/>
      </c>
      <c r="G211" s="11">
        <f>SUMPRODUCT(($A$2:$A$239=A211)*($B$2:$B$239=B211)*($D$2:$D$239&gt;D211))+1</f>
        <v/>
      </c>
      <c r="H211" s="11">
        <f>SUMPRODUCT(($A$2:$A$239=A211)*($D$2:$D$239&gt;D211))+1</f>
        <v/>
      </c>
    </row>
    <row r="212">
      <c r="A212" s="7" t="inlineStr">
        <is>
          <t>Simulado 02</t>
        </is>
      </c>
      <c r="B212" s="7" t="inlineStr">
        <is>
          <t>11ª Fase</t>
        </is>
      </c>
      <c r="C212" s="7" t="inlineStr">
        <is>
          <t>Antonia Dittrich Nova Curz Bandeira</t>
        </is>
      </c>
      <c r="D212" s="8" t="n">
        <v>40</v>
      </c>
      <c r="E212" s="8" t="n">
        <v>60</v>
      </c>
      <c r="F212" s="9">
        <f>IF(E212=0,"",D212/E212)</f>
        <v/>
      </c>
      <c r="G212" s="8">
        <f>SUMPRODUCT(($A$2:$A$239=A212)*($B$2:$B$239=B212)*($D$2:$D$239&gt;D212))+1</f>
        <v/>
      </c>
      <c r="H212" s="8">
        <f>SUMPRODUCT(($A$2:$A$239=A212)*($D$2:$D$239&gt;D212))+1</f>
        <v/>
      </c>
    </row>
    <row r="213">
      <c r="A213" s="10" t="inlineStr">
        <is>
          <t>Simulado 02</t>
        </is>
      </c>
      <c r="B213" s="10" t="inlineStr">
        <is>
          <t>11ª Fase</t>
        </is>
      </c>
      <c r="C213" s="10" t="inlineStr">
        <is>
          <t>Bernardo Martins Zonta</t>
        </is>
      </c>
      <c r="D213" s="11" t="n">
        <v>37</v>
      </c>
      <c r="E213" s="11" t="n">
        <v>60</v>
      </c>
      <c r="F213" s="12">
        <f>IF(E213=0,"",D213/E213)</f>
        <v/>
      </c>
      <c r="G213" s="11">
        <f>SUMPRODUCT(($A$2:$A$239=A213)*($B$2:$B$239=B213)*($D$2:$D$239&gt;D213))+1</f>
        <v/>
      </c>
      <c r="H213" s="11">
        <f>SUMPRODUCT(($A$2:$A$239=A213)*($D$2:$D$239&gt;D213))+1</f>
        <v/>
      </c>
    </row>
    <row r="214">
      <c r="A214" s="7" t="inlineStr">
        <is>
          <t>Simulado 02</t>
        </is>
      </c>
      <c r="B214" s="7" t="inlineStr">
        <is>
          <t>11ª Fase</t>
        </is>
      </c>
      <c r="C214" s="7" t="inlineStr">
        <is>
          <t>Caio Mateus Garlini</t>
        </is>
      </c>
      <c r="D214" s="8" t="n">
        <v>38</v>
      </c>
      <c r="E214" s="8" t="n">
        <v>60</v>
      </c>
      <c r="F214" s="9">
        <f>IF(E214=0,"",D214/E214)</f>
        <v/>
      </c>
      <c r="G214" s="8">
        <f>SUMPRODUCT(($A$2:$A$239=A214)*($B$2:$B$239=B214)*($D$2:$D$239&gt;D214))+1</f>
        <v/>
      </c>
      <c r="H214" s="8">
        <f>SUMPRODUCT(($A$2:$A$239=A214)*($D$2:$D$239&gt;D214))+1</f>
        <v/>
      </c>
    </row>
    <row r="215">
      <c r="A215" s="10" t="inlineStr">
        <is>
          <t>Simulado 02</t>
        </is>
      </c>
      <c r="B215" s="10" t="inlineStr">
        <is>
          <t>11ª Fase</t>
        </is>
      </c>
      <c r="C215" s="10" t="inlineStr">
        <is>
          <t>Carolina Signori Duarte</t>
        </is>
      </c>
      <c r="D215" s="11" t="n">
        <v>37</v>
      </c>
      <c r="E215" s="11" t="n">
        <v>60</v>
      </c>
      <c r="F215" s="12">
        <f>IF(E215=0,"",D215/E215)</f>
        <v/>
      </c>
      <c r="G215" s="11">
        <f>SUMPRODUCT(($A$2:$A$239=A215)*($B$2:$B$239=B215)*($D$2:$D$239&gt;D215))+1</f>
        <v/>
      </c>
      <c r="H215" s="11">
        <f>SUMPRODUCT(($A$2:$A$239=A215)*($D$2:$D$239&gt;D215))+1</f>
        <v/>
      </c>
    </row>
    <row r="216">
      <c r="A216" s="7" t="inlineStr">
        <is>
          <t>Simulado 02</t>
        </is>
      </c>
      <c r="B216" s="7" t="inlineStr">
        <is>
          <t>11ª Fase</t>
        </is>
      </c>
      <c r="C216" s="7" t="inlineStr">
        <is>
          <t>Eduardo Lorenço Moreira</t>
        </is>
      </c>
      <c r="D216" s="8" t="n">
        <v>33</v>
      </c>
      <c r="E216" s="8" t="n">
        <v>60</v>
      </c>
      <c r="F216" s="9">
        <f>IF(E216=0,"",D216/E216)</f>
        <v/>
      </c>
      <c r="G216" s="8">
        <f>SUMPRODUCT(($A$2:$A$239=A216)*($B$2:$B$239=B216)*($D$2:$D$239&gt;D216))+1</f>
        <v/>
      </c>
      <c r="H216" s="8">
        <f>SUMPRODUCT(($A$2:$A$239=A216)*($D$2:$D$239&gt;D216))+1</f>
        <v/>
      </c>
    </row>
    <row r="217">
      <c r="A217" s="10" t="inlineStr">
        <is>
          <t>Simulado 02</t>
        </is>
      </c>
      <c r="B217" s="10" t="inlineStr">
        <is>
          <t>11ª Fase</t>
        </is>
      </c>
      <c r="C217" s="10" t="inlineStr">
        <is>
          <t>Elisa Patzlaff</t>
        </is>
      </c>
      <c r="D217" s="11" t="n">
        <v>42</v>
      </c>
      <c r="E217" s="11" t="n">
        <v>60</v>
      </c>
      <c r="F217" s="12">
        <f>IF(E217=0,"",D217/E217)</f>
        <v/>
      </c>
      <c r="G217" s="11">
        <f>SUMPRODUCT(($A$2:$A$239=A217)*($B$2:$B$239=B217)*($D$2:$D$239&gt;D217))+1</f>
        <v/>
      </c>
      <c r="H217" s="11">
        <f>SUMPRODUCT(($A$2:$A$239=A217)*($D$2:$D$239&gt;D217))+1</f>
        <v/>
      </c>
    </row>
    <row r="218">
      <c r="A218" s="7" t="inlineStr">
        <is>
          <t>Simulado 02</t>
        </is>
      </c>
      <c r="B218" s="7" t="inlineStr">
        <is>
          <t>11ª Fase</t>
        </is>
      </c>
      <c r="C218" s="7" t="inlineStr">
        <is>
          <t>Geisa Maritsa Wippel Schramm</t>
        </is>
      </c>
      <c r="D218" s="8" t="n">
        <v>35</v>
      </c>
      <c r="E218" s="8" t="n">
        <v>60</v>
      </c>
      <c r="F218" s="9">
        <f>IF(E218=0,"",D218/E218)</f>
        <v/>
      </c>
      <c r="G218" s="8">
        <f>SUMPRODUCT(($A$2:$A$239=A218)*($B$2:$B$239=B218)*($D$2:$D$239&gt;D218))+1</f>
        <v/>
      </c>
      <c r="H218" s="8">
        <f>SUMPRODUCT(($A$2:$A$239=A218)*($D$2:$D$239&gt;D218))+1</f>
        <v/>
      </c>
    </row>
    <row r="219">
      <c r="A219" s="10" t="inlineStr">
        <is>
          <t>Simulado 02</t>
        </is>
      </c>
      <c r="B219" s="10" t="inlineStr">
        <is>
          <t>11ª Fase</t>
        </is>
      </c>
      <c r="C219" s="10" t="inlineStr">
        <is>
          <t>Gustavo Heerdt da Silva</t>
        </is>
      </c>
      <c r="D219" s="11" t="n">
        <v>41</v>
      </c>
      <c r="E219" s="11" t="n">
        <v>60</v>
      </c>
      <c r="F219" s="12">
        <f>IF(E219=0,"",D219/E219)</f>
        <v/>
      </c>
      <c r="G219" s="11">
        <f>SUMPRODUCT(($A$2:$A$239=A219)*($B$2:$B$239=B219)*($D$2:$D$239&gt;D219))+1</f>
        <v/>
      </c>
      <c r="H219" s="11">
        <f>SUMPRODUCT(($A$2:$A$239=A219)*($D$2:$D$239&gt;D219))+1</f>
        <v/>
      </c>
    </row>
    <row r="220">
      <c r="A220" s="7" t="inlineStr">
        <is>
          <t>Simulado 02</t>
        </is>
      </c>
      <c r="B220" s="7" t="inlineStr">
        <is>
          <t>11ª Fase</t>
        </is>
      </c>
      <c r="C220" s="7" t="inlineStr">
        <is>
          <t>Gustavo Sborz</t>
        </is>
      </c>
      <c r="D220" s="8" t="n">
        <v>48</v>
      </c>
      <c r="E220" s="8" t="n">
        <v>60</v>
      </c>
      <c r="F220" s="9">
        <f>IF(E220=0,"",D220/E220)</f>
        <v/>
      </c>
      <c r="G220" s="8">
        <f>SUMPRODUCT(($A$2:$A$239=A220)*($B$2:$B$239=B220)*($D$2:$D$239&gt;D220))+1</f>
        <v/>
      </c>
      <c r="H220" s="8">
        <f>SUMPRODUCT(($A$2:$A$239=A220)*($D$2:$D$239&gt;D220))+1</f>
        <v/>
      </c>
    </row>
    <row r="221">
      <c r="A221" s="10" t="inlineStr">
        <is>
          <t>Simulado 02</t>
        </is>
      </c>
      <c r="B221" s="10" t="inlineStr">
        <is>
          <t>11ª Fase</t>
        </is>
      </c>
      <c r="C221" s="10" t="inlineStr">
        <is>
          <t>Helena Woiciechoski Weber</t>
        </is>
      </c>
      <c r="D221" s="11" t="n">
        <v>40</v>
      </c>
      <c r="E221" s="11" t="n">
        <v>60</v>
      </c>
      <c r="F221" s="12">
        <f>IF(E221=0,"",D221/E221)</f>
        <v/>
      </c>
      <c r="G221" s="11">
        <f>SUMPRODUCT(($A$2:$A$239=A221)*($B$2:$B$239=B221)*($D$2:$D$239&gt;D221))+1</f>
        <v/>
      </c>
      <c r="H221" s="11">
        <f>SUMPRODUCT(($A$2:$A$239=A221)*($D$2:$D$239&gt;D221))+1</f>
        <v/>
      </c>
    </row>
    <row r="222">
      <c r="A222" s="7" t="inlineStr">
        <is>
          <t>Simulado 02</t>
        </is>
      </c>
      <c r="B222" s="7" t="inlineStr">
        <is>
          <t>11ª Fase</t>
        </is>
      </c>
      <c r="C222" s="7" t="inlineStr">
        <is>
          <t>Iasmin Kersbaumer Pereira</t>
        </is>
      </c>
      <c r="D222" s="8" t="n">
        <v>41</v>
      </c>
      <c r="E222" s="8" t="n">
        <v>60</v>
      </c>
      <c r="F222" s="9">
        <f>IF(E222=0,"",D222/E222)</f>
        <v/>
      </c>
      <c r="G222" s="8">
        <f>SUMPRODUCT(($A$2:$A$239=A222)*($B$2:$B$239=B222)*($D$2:$D$239&gt;D222))+1</f>
        <v/>
      </c>
      <c r="H222" s="8">
        <f>SUMPRODUCT(($A$2:$A$239=A222)*($D$2:$D$239&gt;D222))+1</f>
        <v/>
      </c>
    </row>
    <row r="223">
      <c r="A223" s="10" t="inlineStr">
        <is>
          <t>Simulado 02</t>
        </is>
      </c>
      <c r="B223" s="10" t="inlineStr">
        <is>
          <t>11ª Fase</t>
        </is>
      </c>
      <c r="C223" s="10" t="inlineStr">
        <is>
          <t>Juan Peres de Oliveira</t>
        </is>
      </c>
      <c r="D223" s="11" t="n">
        <v>42</v>
      </c>
      <c r="E223" s="11" t="n">
        <v>60</v>
      </c>
      <c r="F223" s="12">
        <f>IF(E223=0,"",D223/E223)</f>
        <v/>
      </c>
      <c r="G223" s="11">
        <f>SUMPRODUCT(($A$2:$A$239=A223)*($B$2:$B$239=B223)*($D$2:$D$239&gt;D223))+1</f>
        <v/>
      </c>
      <c r="H223" s="11">
        <f>SUMPRODUCT(($A$2:$A$239=A223)*($D$2:$D$239&gt;D223))+1</f>
        <v/>
      </c>
    </row>
    <row r="224">
      <c r="A224" s="7" t="inlineStr">
        <is>
          <t>Simulado 02</t>
        </is>
      </c>
      <c r="B224" s="7" t="inlineStr">
        <is>
          <t>11ª Fase</t>
        </is>
      </c>
      <c r="C224" s="7" t="inlineStr">
        <is>
          <t>Juliara Borguesan</t>
        </is>
      </c>
      <c r="D224" s="8" t="n">
        <v>41</v>
      </c>
      <c r="E224" s="8" t="n">
        <v>60</v>
      </c>
      <c r="F224" s="9">
        <f>IF(E224=0,"",D224/E224)</f>
        <v/>
      </c>
      <c r="G224" s="8">
        <f>SUMPRODUCT(($A$2:$A$239=A224)*($B$2:$B$239=B224)*($D$2:$D$239&gt;D224))+1</f>
        <v/>
      </c>
      <c r="H224" s="8">
        <f>SUMPRODUCT(($A$2:$A$239=A224)*($D$2:$D$239&gt;D224))+1</f>
        <v/>
      </c>
    </row>
    <row r="225">
      <c r="A225" s="10" t="inlineStr">
        <is>
          <t>Simulado 02</t>
        </is>
      </c>
      <c r="B225" s="10" t="inlineStr">
        <is>
          <t>11ª Fase</t>
        </is>
      </c>
      <c r="C225" s="10" t="inlineStr">
        <is>
          <t>Katrine Manoel</t>
        </is>
      </c>
      <c r="D225" s="11" t="n">
        <v>39</v>
      </c>
      <c r="E225" s="11" t="n">
        <v>60</v>
      </c>
      <c r="F225" s="12">
        <f>IF(E225=0,"",D225/E225)</f>
        <v/>
      </c>
      <c r="G225" s="11">
        <f>SUMPRODUCT(($A$2:$A$239=A225)*($B$2:$B$239=B225)*($D$2:$D$239&gt;D225))+1</f>
        <v/>
      </c>
      <c r="H225" s="11">
        <f>SUMPRODUCT(($A$2:$A$239=A225)*($D$2:$D$239&gt;D225))+1</f>
        <v/>
      </c>
    </row>
    <row r="226">
      <c r="A226" s="7" t="inlineStr">
        <is>
          <t>Simulado 02</t>
        </is>
      </c>
      <c r="B226" s="7" t="inlineStr">
        <is>
          <t>11ª Fase</t>
        </is>
      </c>
      <c r="C226" s="7" t="inlineStr">
        <is>
          <t>Lauro Schweitzer Sebold</t>
        </is>
      </c>
      <c r="D226" s="8" t="n">
        <v>45</v>
      </c>
      <c r="E226" s="8" t="n">
        <v>60</v>
      </c>
      <c r="F226" s="9">
        <f>IF(E226=0,"",D226/E226)</f>
        <v/>
      </c>
      <c r="G226" s="8">
        <f>SUMPRODUCT(($A$2:$A$239=A226)*($B$2:$B$239=B226)*($D$2:$D$239&gt;D226))+1</f>
        <v/>
      </c>
      <c r="H226" s="8">
        <f>SUMPRODUCT(($A$2:$A$239=A226)*($D$2:$D$239&gt;D226))+1</f>
        <v/>
      </c>
    </row>
    <row r="227">
      <c r="A227" s="10" t="inlineStr">
        <is>
          <t>Simulado 02</t>
        </is>
      </c>
      <c r="B227" s="10" t="inlineStr">
        <is>
          <t>11ª Fase</t>
        </is>
      </c>
      <c r="C227" s="10" t="inlineStr">
        <is>
          <t>Luís Henrique Knaul</t>
        </is>
      </c>
      <c r="D227" s="11" t="n">
        <v>40</v>
      </c>
      <c r="E227" s="11" t="n">
        <v>60</v>
      </c>
      <c r="F227" s="12">
        <f>IF(E227=0,"",D227/E227)</f>
        <v/>
      </c>
      <c r="G227" s="11">
        <f>SUMPRODUCT(($A$2:$A$239=A227)*($B$2:$B$239=B227)*($D$2:$D$239&gt;D227))+1</f>
        <v/>
      </c>
      <c r="H227" s="11">
        <f>SUMPRODUCT(($A$2:$A$239=A227)*($D$2:$D$239&gt;D227))+1</f>
        <v/>
      </c>
    </row>
    <row r="228">
      <c r="A228" s="7" t="inlineStr">
        <is>
          <t>Simulado 02</t>
        </is>
      </c>
      <c r="B228" s="7" t="inlineStr">
        <is>
          <t>11ª Fase</t>
        </is>
      </c>
      <c r="C228" s="7" t="inlineStr">
        <is>
          <t>Luiza Tonet dos Santos</t>
        </is>
      </c>
      <c r="D228" s="8" t="n">
        <v>31</v>
      </c>
      <c r="E228" s="8" t="n">
        <v>60</v>
      </c>
      <c r="F228" s="9">
        <f>IF(E228=0,"",D228/E228)</f>
        <v/>
      </c>
      <c r="G228" s="8">
        <f>SUMPRODUCT(($A$2:$A$239=A228)*($B$2:$B$239=B228)*($D$2:$D$239&gt;D228))+1</f>
        <v/>
      </c>
      <c r="H228" s="8">
        <f>SUMPRODUCT(($A$2:$A$239=A228)*($D$2:$D$239&gt;D228))+1</f>
        <v/>
      </c>
    </row>
    <row r="229">
      <c r="A229" s="10" t="inlineStr">
        <is>
          <t>Simulado 02</t>
        </is>
      </c>
      <c r="B229" s="10" t="inlineStr">
        <is>
          <t>11ª Fase</t>
        </is>
      </c>
      <c r="C229" s="10" t="inlineStr">
        <is>
          <t>Maria Amélia Vozniak Deluca Schneider</t>
        </is>
      </c>
      <c r="D229" s="11" t="n">
        <v>38</v>
      </c>
      <c r="E229" s="11" t="n">
        <v>60</v>
      </c>
      <c r="F229" s="12">
        <f>IF(E229=0,"",D229/E229)</f>
        <v/>
      </c>
      <c r="G229" s="11">
        <f>SUMPRODUCT(($A$2:$A$239=A229)*($B$2:$B$239=B229)*($D$2:$D$239&gt;D229))+1</f>
        <v/>
      </c>
      <c r="H229" s="11">
        <f>SUMPRODUCT(($A$2:$A$239=A229)*($D$2:$D$239&gt;D229))+1</f>
        <v/>
      </c>
    </row>
    <row r="230">
      <c r="A230" s="7" t="inlineStr">
        <is>
          <t>Simulado 02</t>
        </is>
      </c>
      <c r="B230" s="7" t="inlineStr">
        <is>
          <t>11ª Fase</t>
        </is>
      </c>
      <c r="C230" s="7" t="inlineStr">
        <is>
          <t>Mateus Henrique Silva</t>
        </is>
      </c>
      <c r="D230" s="8" t="n">
        <v>54</v>
      </c>
      <c r="E230" s="8" t="n">
        <v>60</v>
      </c>
      <c r="F230" s="9">
        <f>IF(E230=0,"",D230/E230)</f>
        <v/>
      </c>
      <c r="G230" s="8">
        <f>SUMPRODUCT(($A$2:$A$239=A230)*($B$2:$B$239=B230)*($D$2:$D$239&gt;D230))+1</f>
        <v/>
      </c>
      <c r="H230" s="8">
        <f>SUMPRODUCT(($A$2:$A$239=A230)*($D$2:$D$239&gt;D230))+1</f>
        <v/>
      </c>
    </row>
    <row r="231">
      <c r="A231" s="10" t="inlineStr">
        <is>
          <t>Simulado 02</t>
        </is>
      </c>
      <c r="B231" s="10" t="inlineStr">
        <is>
          <t>11ª Fase</t>
        </is>
      </c>
      <c r="C231" s="10" t="inlineStr">
        <is>
          <t>Micheli Padilha</t>
        </is>
      </c>
      <c r="D231" s="11" t="n">
        <v>35</v>
      </c>
      <c r="E231" s="11" t="n">
        <v>60</v>
      </c>
      <c r="F231" s="12">
        <f>IF(E231=0,"",D231/E231)</f>
        <v/>
      </c>
      <c r="G231" s="11">
        <f>SUMPRODUCT(($A$2:$A$239=A231)*($B$2:$B$239=B231)*($D$2:$D$239&gt;D231))+1</f>
        <v/>
      </c>
      <c r="H231" s="11">
        <f>SUMPRODUCT(($A$2:$A$239=A231)*($D$2:$D$239&gt;D231))+1</f>
        <v/>
      </c>
    </row>
    <row r="232">
      <c r="A232" s="7" t="inlineStr">
        <is>
          <t>Simulado 02</t>
        </is>
      </c>
      <c r="B232" s="7" t="inlineStr">
        <is>
          <t>11ª Fase</t>
        </is>
      </c>
      <c r="C232" s="7" t="inlineStr">
        <is>
          <t>Rafaela Dela Justina</t>
        </is>
      </c>
      <c r="D232" s="8" t="n">
        <v>39</v>
      </c>
      <c r="E232" s="8" t="n">
        <v>60</v>
      </c>
      <c r="F232" s="9">
        <f>IF(E232=0,"",D232/E232)</f>
        <v/>
      </c>
      <c r="G232" s="8">
        <f>SUMPRODUCT(($A$2:$A$239=A232)*($B$2:$B$239=B232)*($D$2:$D$239&gt;D232))+1</f>
        <v/>
      </c>
      <c r="H232" s="8">
        <f>SUMPRODUCT(($A$2:$A$239=A232)*($D$2:$D$239&gt;D232))+1</f>
        <v/>
      </c>
    </row>
    <row r="233">
      <c r="A233" s="10" t="inlineStr">
        <is>
          <t>Simulado 02</t>
        </is>
      </c>
      <c r="B233" s="10" t="inlineStr">
        <is>
          <t>11ª Fase</t>
        </is>
      </c>
      <c r="C233" s="10" t="inlineStr">
        <is>
          <t>Ramon Hüntermann</t>
        </is>
      </c>
      <c r="D233" s="11" t="n">
        <v>34</v>
      </c>
      <c r="E233" s="11" t="n">
        <v>60</v>
      </c>
      <c r="F233" s="12">
        <f>IF(E233=0,"",D233/E233)</f>
        <v/>
      </c>
      <c r="G233" s="11">
        <f>SUMPRODUCT(($A$2:$A$239=A233)*($B$2:$B$239=B233)*($D$2:$D$239&gt;D233))+1</f>
        <v/>
      </c>
      <c r="H233" s="11">
        <f>SUMPRODUCT(($A$2:$A$239=A233)*($D$2:$D$239&gt;D233))+1</f>
        <v/>
      </c>
    </row>
    <row r="234">
      <c r="A234" s="7" t="inlineStr">
        <is>
          <t>Simulado 02</t>
        </is>
      </c>
      <c r="B234" s="7" t="inlineStr">
        <is>
          <t>11ª Fase</t>
        </is>
      </c>
      <c r="C234" s="7" t="inlineStr">
        <is>
          <t>Raquel Michels</t>
        </is>
      </c>
      <c r="D234" s="8" t="n">
        <v>35</v>
      </c>
      <c r="E234" s="8" t="n">
        <v>60</v>
      </c>
      <c r="F234" s="9">
        <f>IF(E234=0,"",D234/E234)</f>
        <v/>
      </c>
      <c r="G234" s="8">
        <f>SUMPRODUCT(($A$2:$A$239=A234)*($B$2:$B$239=B234)*($D$2:$D$239&gt;D234))+1</f>
        <v/>
      </c>
      <c r="H234" s="8">
        <f>SUMPRODUCT(($A$2:$A$239=A234)*($D$2:$D$239&gt;D234))+1</f>
        <v/>
      </c>
    </row>
    <row r="235">
      <c r="A235" s="10" t="inlineStr">
        <is>
          <t>Simulado 02</t>
        </is>
      </c>
      <c r="B235" s="10" t="inlineStr">
        <is>
          <t>11ª Fase</t>
        </is>
      </c>
      <c r="C235" s="10" t="inlineStr">
        <is>
          <t>Taina Farias</t>
        </is>
      </c>
      <c r="D235" s="11" t="n">
        <v>32</v>
      </c>
      <c r="E235" s="11" t="n">
        <v>60</v>
      </c>
      <c r="F235" s="12">
        <f>IF(E235=0,"",D235/E235)</f>
        <v/>
      </c>
      <c r="G235" s="11">
        <f>SUMPRODUCT(($A$2:$A$239=A235)*($B$2:$B$239=B235)*($D$2:$D$239&gt;D235))+1</f>
        <v/>
      </c>
      <c r="H235" s="11">
        <f>SUMPRODUCT(($A$2:$A$239=A235)*($D$2:$D$239&gt;D235))+1</f>
        <v/>
      </c>
    </row>
    <row r="236">
      <c r="A236" s="7" t="inlineStr">
        <is>
          <t>Simulado 02</t>
        </is>
      </c>
      <c r="B236" s="7" t="inlineStr">
        <is>
          <t>11ª Fase</t>
        </is>
      </c>
      <c r="C236" s="7" t="inlineStr">
        <is>
          <t>Taís Cristina Paludo</t>
        </is>
      </c>
      <c r="D236" s="8" t="n">
        <v>44</v>
      </c>
      <c r="E236" s="8" t="n">
        <v>60</v>
      </c>
      <c r="F236" s="9">
        <f>IF(E236=0,"",D236/E236)</f>
        <v/>
      </c>
      <c r="G236" s="8">
        <f>SUMPRODUCT(($A$2:$A$239=A236)*($B$2:$B$239=B236)*($D$2:$D$239&gt;D236))+1</f>
        <v/>
      </c>
      <c r="H236" s="8">
        <f>SUMPRODUCT(($A$2:$A$239=A236)*($D$2:$D$239&gt;D236))+1</f>
        <v/>
      </c>
    </row>
    <row r="237">
      <c r="A237" s="10" t="inlineStr">
        <is>
          <t>Simulado 02</t>
        </is>
      </c>
      <c r="B237" s="10" t="inlineStr">
        <is>
          <t>11ª Fase</t>
        </is>
      </c>
      <c r="C237" s="10" t="inlineStr">
        <is>
          <t>Yasmin Minatti</t>
        </is>
      </c>
      <c r="D237" s="11" t="n">
        <v>36</v>
      </c>
      <c r="E237" s="11" t="n">
        <v>60</v>
      </c>
      <c r="F237" s="12">
        <f>IF(E237=0,"",D237/E237)</f>
        <v/>
      </c>
      <c r="G237" s="11">
        <f>SUMPRODUCT(($A$2:$A$239=A237)*($B$2:$B$239=B237)*($D$2:$D$239&gt;D237))+1</f>
        <v/>
      </c>
      <c r="H237" s="11">
        <f>SUMPRODUCT(($A$2:$A$239=A237)*($D$2:$D$239&gt;D237))+1</f>
        <v/>
      </c>
    </row>
    <row r="238">
      <c r="A238" s="7" t="inlineStr">
        <is>
          <t>Simulado 02</t>
        </is>
      </c>
      <c r="B238" s="7" t="inlineStr">
        <is>
          <t>11ª Fase</t>
        </is>
      </c>
      <c r="C238" s="7" t="inlineStr">
        <is>
          <t>Yasmin Paes Turnes</t>
        </is>
      </c>
      <c r="D238" s="8" t="n">
        <v>41</v>
      </c>
      <c r="E238" s="8" t="n">
        <v>60</v>
      </c>
      <c r="F238" s="9">
        <f>IF(E238=0,"",D238/E238)</f>
        <v/>
      </c>
      <c r="G238" s="8">
        <f>SUMPRODUCT(($A$2:$A$239=A238)*($B$2:$B$239=B238)*($D$2:$D$239&gt;D238))+1</f>
        <v/>
      </c>
      <c r="H238" s="8">
        <f>SUMPRODUCT(($A$2:$A$239=A238)*($D$2:$D$239&gt;D238))+1</f>
        <v/>
      </c>
    </row>
    <row r="239">
      <c r="A239" s="10" t="inlineStr">
        <is>
          <t>Simulado 02</t>
        </is>
      </c>
      <c r="B239" s="10" t="inlineStr">
        <is>
          <t>11ª Fase</t>
        </is>
      </c>
      <c r="C239" s="10" t="inlineStr">
        <is>
          <t>Yasmin Rafaela Braun</t>
        </is>
      </c>
      <c r="D239" s="11" t="n">
        <v>34</v>
      </c>
      <c r="E239" s="11" t="n">
        <v>60</v>
      </c>
      <c r="F239" s="12">
        <f>IF(E239=0,"",D239/E239)</f>
        <v/>
      </c>
      <c r="G239" s="11">
        <f>SUMPRODUCT(($A$2:$A$239=A239)*($B$2:$B$239=B239)*($D$2:$D$239&gt;D239))+1</f>
        <v/>
      </c>
      <c r="H239" s="11">
        <f>SUMPRODUCT(($A$2:$A$239=A239)*($D$2:$D$239&gt;D239))+1</f>
        <v/>
      </c>
    </row>
  </sheetData>
  <autoFilter ref="A1:H2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1" customWidth="1" min="4" max="4"/>
    <col width="9" customWidth="1" min="5" max="5"/>
    <col width="11" customWidth="1" min="6" max="6"/>
    <col width="9" customWidth="1" min="7" max="7"/>
    <col width="11" customWidth="1" min="8" max="8"/>
    <col width="9" customWidth="1" min="9" max="9"/>
    <col width="11" customWidth="1" min="10" max="10"/>
    <col width="9" customWidth="1" min="11" max="11"/>
    <col width="14" customWidth="1" min="12" max="12"/>
    <col width="13" customWidth="1" min="13" max="13"/>
    <col width="10" customWidth="1" min="14" max="14"/>
    <col width="14" customWidth="1" min="15" max="15"/>
    <col width="66" customWidth="1" min="16" max="16"/>
  </cols>
  <sheetData>
    <row r="1" ht="30" customHeight="1">
      <c r="A1" s="6" t="inlineStr">
        <is>
          <t>Simulado</t>
        </is>
      </c>
      <c r="B1" s="6" t="inlineStr">
        <is>
          <t>Questão</t>
        </is>
      </c>
      <c r="C1" s="6" t="inlineStr">
        <is>
          <t>Gabarito
(chave do dashboard)</t>
        </is>
      </c>
      <c r="D1" s="6" t="inlineStr">
        <is>
          <t>Acertos 6ª Fase</t>
        </is>
      </c>
      <c r="E1" s="6" t="inlineStr">
        <is>
          <t>% 6ª Fase</t>
        </is>
      </c>
      <c r="F1" s="6" t="inlineStr">
        <is>
          <t>Acertos 7ª Fase</t>
        </is>
      </c>
      <c r="G1" s="6" t="inlineStr">
        <is>
          <t>% 7ª Fase</t>
        </is>
      </c>
      <c r="H1" s="6" t="inlineStr">
        <is>
          <t>Acertos 10ª Fase</t>
        </is>
      </c>
      <c r="I1" s="6" t="inlineStr">
        <is>
          <t>% 10ª Fase</t>
        </is>
      </c>
      <c r="J1" s="6" t="inlineStr">
        <is>
          <t>Acertos 11ª Fase</t>
        </is>
      </c>
      <c r="K1" s="6" t="inlineStr">
        <is>
          <t>% 11ª Fase</t>
        </is>
      </c>
      <c r="L1" s="6" t="inlineStr">
        <is>
          <t>Total de acertos</t>
        </is>
      </c>
      <c r="M1" s="6" t="inlineStr">
        <is>
          <t>Total de alunos</t>
        </is>
      </c>
      <c r="N1" s="6" t="inlineStr">
        <is>
          <t>% geral</t>
        </is>
      </c>
      <c r="O1" s="6" t="inlineStr">
        <is>
          <t>Dificuldade</t>
        </is>
      </c>
      <c r="P1" s="6" t="inlineStr">
        <is>
          <t>Situação</t>
        </is>
      </c>
    </row>
    <row r="2">
      <c r="A2" s="7" t="inlineStr">
        <is>
          <t>Simulado 01</t>
        </is>
      </c>
      <c r="B2" s="8" t="n">
        <v>1</v>
      </c>
      <c r="C2" s="8" t="inlineStr">
        <is>
          <t>E</t>
        </is>
      </c>
      <c r="D2" s="8" t="n">
        <v>24</v>
      </c>
      <c r="E2" s="9">
        <f>D2/27</f>
        <v/>
      </c>
      <c r="F2" s="8" t="n">
        <v>32</v>
      </c>
      <c r="G2" s="9">
        <f>F2/33</f>
        <v/>
      </c>
      <c r="H2" s="8" t="n">
        <v>31</v>
      </c>
      <c r="I2" s="9">
        <f>H2/31</f>
        <v/>
      </c>
      <c r="J2" s="8" t="n">
        <v>27</v>
      </c>
      <c r="K2" s="9">
        <f>J2/27</f>
        <v/>
      </c>
      <c r="L2" s="8">
        <f>D2+F2+H2+J2</f>
        <v/>
      </c>
      <c r="M2" s="8" t="n">
        <v>118</v>
      </c>
      <c r="N2" s="9">
        <f>IF(M2="","",L2/M2)</f>
        <v/>
      </c>
      <c r="O2" s="7">
        <f>IF(N2&gt;=0.85,"Muito fácil",IF(N2&gt;=0.7,"Fácil",IF(N2&gt;=0.4,"Médio",IF(N2&gt;=0.2,"Difícil","Muito difícil"))))</f>
        <v/>
      </c>
      <c r="P2" s="7" t="inlineStr">
        <is>
          <t>OK</t>
        </is>
      </c>
    </row>
    <row r="3">
      <c r="A3" s="10" t="inlineStr">
        <is>
          <t>Simulado 01</t>
        </is>
      </c>
      <c r="B3" s="11" t="n">
        <v>2</v>
      </c>
      <c r="C3" s="11" t="inlineStr">
        <is>
          <t>E</t>
        </is>
      </c>
      <c r="D3" s="11" t="n">
        <v>23</v>
      </c>
      <c r="E3" s="12">
        <f>D3/27</f>
        <v/>
      </c>
      <c r="F3" s="11" t="n">
        <v>33</v>
      </c>
      <c r="G3" s="12">
        <f>F3/33</f>
        <v/>
      </c>
      <c r="H3" s="11" t="n">
        <v>26</v>
      </c>
      <c r="I3" s="12">
        <f>H3/31</f>
        <v/>
      </c>
      <c r="J3" s="11" t="n">
        <v>26</v>
      </c>
      <c r="K3" s="12">
        <f>J3/27</f>
        <v/>
      </c>
      <c r="L3" s="11">
        <f>D3+F3+H3+J3</f>
        <v/>
      </c>
      <c r="M3" s="11" t="n">
        <v>118</v>
      </c>
      <c r="N3" s="12">
        <f>IF(M3="","",L3/M3)</f>
        <v/>
      </c>
      <c r="O3" s="10">
        <f>IF(N3&gt;=0.85,"Muito fácil",IF(N3&gt;=0.7,"Fácil",IF(N3&gt;=0.4,"Médio",IF(N3&gt;=0.2,"Difícil","Muito difícil"))))</f>
        <v/>
      </c>
      <c r="P3" s="10" t="inlineStr">
        <is>
          <t>OK</t>
        </is>
      </c>
    </row>
    <row r="4">
      <c r="A4" s="7" t="inlineStr">
        <is>
          <t>Simulado 01</t>
        </is>
      </c>
      <c r="B4" s="8" t="n">
        <v>3</v>
      </c>
      <c r="C4" s="8" t="inlineStr">
        <is>
          <t>E</t>
        </is>
      </c>
      <c r="D4" s="8" t="n">
        <v>13</v>
      </c>
      <c r="E4" s="9">
        <f>D4/27</f>
        <v/>
      </c>
      <c r="F4" s="8" t="n">
        <v>25</v>
      </c>
      <c r="G4" s="9">
        <f>F4/33</f>
        <v/>
      </c>
      <c r="H4" s="8" t="n">
        <v>18</v>
      </c>
      <c r="I4" s="9">
        <f>H4/31</f>
        <v/>
      </c>
      <c r="J4" s="8" t="n">
        <v>17</v>
      </c>
      <c r="K4" s="9">
        <f>J4/27</f>
        <v/>
      </c>
      <c r="L4" s="8">
        <f>D4+F4+H4+J4</f>
        <v/>
      </c>
      <c r="M4" s="8" t="n">
        <v>118</v>
      </c>
      <c r="N4" s="9">
        <f>IF(M4="","",L4/M4)</f>
        <v/>
      </c>
      <c r="O4" s="7">
        <f>IF(N4&gt;=0.85,"Muito fácil",IF(N4&gt;=0.7,"Fácil",IF(N4&gt;=0.4,"Médio",IF(N4&gt;=0.2,"Difícil","Muito difícil"))))</f>
        <v/>
      </c>
      <c r="P4" s="7" t="inlineStr">
        <is>
          <t>OK</t>
        </is>
      </c>
    </row>
    <row r="5">
      <c r="A5" s="10" t="inlineStr">
        <is>
          <t>Simulado 01</t>
        </is>
      </c>
      <c r="B5" s="11" t="n">
        <v>4</v>
      </c>
      <c r="C5" s="11" t="inlineStr">
        <is>
          <t>D</t>
        </is>
      </c>
      <c r="D5" s="11" t="n">
        <v>19</v>
      </c>
      <c r="E5" s="12">
        <f>D5/27</f>
        <v/>
      </c>
      <c r="F5" s="11" t="n">
        <v>19</v>
      </c>
      <c r="G5" s="12">
        <f>F5/33</f>
        <v/>
      </c>
      <c r="H5" s="11" t="n">
        <v>13</v>
      </c>
      <c r="I5" s="12">
        <f>H5/31</f>
        <v/>
      </c>
      <c r="J5" s="11" t="n">
        <v>15</v>
      </c>
      <c r="K5" s="12">
        <f>J5/27</f>
        <v/>
      </c>
      <c r="L5" s="11">
        <f>D5+F5+H5+J5</f>
        <v/>
      </c>
      <c r="M5" s="11" t="n">
        <v>118</v>
      </c>
      <c r="N5" s="12">
        <f>IF(M5="","",L5/M5)</f>
        <v/>
      </c>
      <c r="O5" s="10">
        <f>IF(N5&gt;=0.85,"Muito fácil",IF(N5&gt;=0.7,"Fácil",IF(N5&gt;=0.4,"Médio",IF(N5&gt;=0.2,"Difícil","Muito difícil"))))</f>
        <v/>
      </c>
      <c r="P5" s="10" t="inlineStr">
        <is>
          <t>OK</t>
        </is>
      </c>
    </row>
    <row r="6">
      <c r="A6" s="7" t="inlineStr">
        <is>
          <t>Simulado 01</t>
        </is>
      </c>
      <c r="B6" s="8" t="n">
        <v>5</v>
      </c>
      <c r="C6" s="8" t="inlineStr">
        <is>
          <t>A</t>
        </is>
      </c>
      <c r="D6" s="8" t="n">
        <v>6</v>
      </c>
      <c r="E6" s="9">
        <f>D6/27</f>
        <v/>
      </c>
      <c r="F6" s="8" t="n">
        <v>14</v>
      </c>
      <c r="G6" s="9">
        <f>F6/33</f>
        <v/>
      </c>
      <c r="H6" s="8" t="n">
        <v>16</v>
      </c>
      <c r="I6" s="9">
        <f>H6/31</f>
        <v/>
      </c>
      <c r="J6" s="8" t="n">
        <v>12</v>
      </c>
      <c r="K6" s="9">
        <f>J6/27</f>
        <v/>
      </c>
      <c r="L6" s="8">
        <f>D6+F6+H6+J6</f>
        <v/>
      </c>
      <c r="M6" s="8" t="n">
        <v>118</v>
      </c>
      <c r="N6" s="9">
        <f>IF(M6="","",L6/M6)</f>
        <v/>
      </c>
      <c r="O6" s="7">
        <f>IF(N6&gt;=0.85,"Muito fácil",IF(N6&gt;=0.7,"Fácil",IF(N6&gt;=0.4,"Médio",IF(N6&gt;=0.2,"Difícil","Muito difícil"))))</f>
        <v/>
      </c>
      <c r="P6" s="7" t="inlineStr">
        <is>
          <t>OK</t>
        </is>
      </c>
    </row>
    <row r="7">
      <c r="A7" s="10" t="inlineStr">
        <is>
          <t>Simulado 01</t>
        </is>
      </c>
      <c r="B7" s="11" t="n">
        <v>6</v>
      </c>
      <c r="C7" s="11" t="inlineStr">
        <is>
          <t>B</t>
        </is>
      </c>
      <c r="D7" s="11" t="n">
        <v>2</v>
      </c>
      <c r="E7" s="12">
        <f>D7/27</f>
        <v/>
      </c>
      <c r="F7" s="11" t="n">
        <v>4</v>
      </c>
      <c r="G7" s="12">
        <f>F7/33</f>
        <v/>
      </c>
      <c r="H7" s="11" t="n">
        <v>3</v>
      </c>
      <c r="I7" s="12">
        <f>H7/31</f>
        <v/>
      </c>
      <c r="J7" s="11" t="n">
        <v>9</v>
      </c>
      <c r="K7" s="12">
        <f>J7/27</f>
        <v/>
      </c>
      <c r="L7" s="11">
        <f>D7+F7+H7+J7</f>
        <v/>
      </c>
      <c r="M7" s="11" t="n">
        <v>118</v>
      </c>
      <c r="N7" s="12">
        <f>IF(M7="","",L7/M7)</f>
        <v/>
      </c>
      <c r="O7" s="10">
        <f>IF(N7&gt;=0.85,"Muito fácil",IF(N7&gt;=0.7,"Fácil",IF(N7&gt;=0.4,"Médio",IF(N7&gt;=0.2,"Difícil","Muito difícil"))))</f>
        <v/>
      </c>
      <c r="P7" s="10" t="inlineStr">
        <is>
          <t>OK</t>
        </is>
      </c>
    </row>
    <row r="8">
      <c r="A8" s="7" t="inlineStr">
        <is>
          <t>Simulado 01</t>
        </is>
      </c>
      <c r="B8" s="8" t="n">
        <v>7</v>
      </c>
      <c r="C8" s="8" t="inlineStr">
        <is>
          <t>D</t>
        </is>
      </c>
      <c r="D8" s="8" t="n">
        <v>8</v>
      </c>
      <c r="E8" s="9">
        <f>D8/27</f>
        <v/>
      </c>
      <c r="F8" s="8" t="n">
        <v>8</v>
      </c>
      <c r="G8" s="9">
        <f>F8/33</f>
        <v/>
      </c>
      <c r="H8" s="8" t="n">
        <v>7</v>
      </c>
      <c r="I8" s="9">
        <f>H8/31</f>
        <v/>
      </c>
      <c r="J8" s="8" t="n">
        <v>12</v>
      </c>
      <c r="K8" s="9">
        <f>J8/27</f>
        <v/>
      </c>
      <c r="L8" s="8">
        <f>D8+F8+H8+J8</f>
        <v/>
      </c>
      <c r="M8" s="8" t="n">
        <v>118</v>
      </c>
      <c r="N8" s="9">
        <f>IF(M8="","",L8/M8)</f>
        <v/>
      </c>
      <c r="O8" s="7">
        <f>IF(N8&gt;=0.85,"Muito fácil",IF(N8&gt;=0.7,"Fácil",IF(N8&gt;=0.4,"Médio",IF(N8&gt;=0.2,"Difícil","Muito difícil"))))</f>
        <v/>
      </c>
      <c r="P8" s="7" t="inlineStr">
        <is>
          <t>OK</t>
        </is>
      </c>
    </row>
    <row r="9">
      <c r="A9" s="10" t="inlineStr">
        <is>
          <t>Simulado 01</t>
        </is>
      </c>
      <c r="B9" s="11" t="n">
        <v>8</v>
      </c>
      <c r="C9" s="11" t="inlineStr">
        <is>
          <t>E</t>
        </is>
      </c>
      <c r="D9" s="11" t="n">
        <v>4</v>
      </c>
      <c r="E9" s="12">
        <f>D9/27</f>
        <v/>
      </c>
      <c r="F9" s="11" t="n">
        <v>1</v>
      </c>
      <c r="G9" s="12">
        <f>F9/33</f>
        <v/>
      </c>
      <c r="H9" s="11" t="n">
        <v>1</v>
      </c>
      <c r="I9" s="12">
        <f>H9/31</f>
        <v/>
      </c>
      <c r="J9" s="11" t="n">
        <v>0</v>
      </c>
      <c r="K9" s="12">
        <f>J9/27</f>
        <v/>
      </c>
      <c r="L9" s="11">
        <f>D9+F9+H9+J9</f>
        <v/>
      </c>
      <c r="M9" s="11" t="n">
        <v>118</v>
      </c>
      <c r="N9" s="12">
        <f>IF(M9="","",L9/M9)</f>
        <v/>
      </c>
      <c r="O9" s="10">
        <f>IF(N9&gt;=0.85,"Muito fácil",IF(N9&gt;=0.7,"Fácil",IF(N9&gt;=0.4,"Médio",IF(N9&gt;=0.2,"Difícil","Muito difícil"))))</f>
        <v/>
      </c>
      <c r="P9" s="10" t="inlineStr">
        <is>
          <t>OK</t>
        </is>
      </c>
    </row>
    <row r="10">
      <c r="A10" s="7" t="inlineStr">
        <is>
          <t>Simulado 01</t>
        </is>
      </c>
      <c r="B10" s="8" t="n">
        <v>9</v>
      </c>
      <c r="C10" s="8" t="inlineStr">
        <is>
          <t>E</t>
        </is>
      </c>
      <c r="D10" s="8" t="n">
        <v>24</v>
      </c>
      <c r="E10" s="9">
        <f>D10/27</f>
        <v/>
      </c>
      <c r="F10" s="8" t="n">
        <v>30</v>
      </c>
      <c r="G10" s="9">
        <f>F10/33</f>
        <v/>
      </c>
      <c r="H10" s="8" t="n">
        <v>28</v>
      </c>
      <c r="I10" s="9">
        <f>H10/31</f>
        <v/>
      </c>
      <c r="J10" s="8" t="n">
        <v>24</v>
      </c>
      <c r="K10" s="9">
        <f>J10/27</f>
        <v/>
      </c>
      <c r="L10" s="8">
        <f>D10+F10+H10+J10</f>
        <v/>
      </c>
      <c r="M10" s="8" t="n">
        <v>118</v>
      </c>
      <c r="N10" s="9">
        <f>IF(M10="","",L10/M10)</f>
        <v/>
      </c>
      <c r="O10" s="7">
        <f>IF(N10&gt;=0.85,"Muito fácil",IF(N10&gt;=0.7,"Fácil",IF(N10&gt;=0.4,"Médio",IF(N10&gt;=0.2,"Difícil","Muito difícil"))))</f>
        <v/>
      </c>
      <c r="P10" s="7" t="inlineStr">
        <is>
          <t>OK</t>
        </is>
      </c>
    </row>
    <row r="11">
      <c r="A11" s="10" t="inlineStr">
        <is>
          <t>Simulado 01</t>
        </is>
      </c>
      <c r="B11" s="11" t="n">
        <v>10</v>
      </c>
      <c r="C11" s="11" t="inlineStr">
        <is>
          <t>B</t>
        </is>
      </c>
      <c r="D11" s="11" t="n">
        <v>22</v>
      </c>
      <c r="E11" s="12">
        <f>D11/27</f>
        <v/>
      </c>
      <c r="F11" s="11" t="n">
        <v>25</v>
      </c>
      <c r="G11" s="12">
        <f>F11/33</f>
        <v/>
      </c>
      <c r="H11" s="11" t="n">
        <v>27</v>
      </c>
      <c r="I11" s="12">
        <f>H11/31</f>
        <v/>
      </c>
      <c r="J11" s="11" t="n">
        <v>21</v>
      </c>
      <c r="K11" s="12">
        <f>J11/27</f>
        <v/>
      </c>
      <c r="L11" s="11">
        <f>D11+F11+H11+J11</f>
        <v/>
      </c>
      <c r="M11" s="11" t="n">
        <v>118</v>
      </c>
      <c r="N11" s="12">
        <f>IF(M11="","",L11/M11)</f>
        <v/>
      </c>
      <c r="O11" s="10">
        <f>IF(N11&gt;=0.85,"Muito fácil",IF(N11&gt;=0.7,"Fácil",IF(N11&gt;=0.4,"Médio",IF(N11&gt;=0.2,"Difícil","Muito difícil"))))</f>
        <v/>
      </c>
      <c r="P11" s="10" t="inlineStr">
        <is>
          <t>OK</t>
        </is>
      </c>
    </row>
    <row r="12">
      <c r="A12" s="7" t="inlineStr">
        <is>
          <t>Simulado 01</t>
        </is>
      </c>
      <c r="B12" s="8" t="n">
        <v>11</v>
      </c>
      <c r="C12" s="8" t="inlineStr">
        <is>
          <t>C</t>
        </is>
      </c>
      <c r="D12" s="8" t="n">
        <v>3</v>
      </c>
      <c r="E12" s="9">
        <f>D12/27</f>
        <v/>
      </c>
      <c r="F12" s="8" t="n">
        <v>9</v>
      </c>
      <c r="G12" s="9">
        <f>F12/33</f>
        <v/>
      </c>
      <c r="H12" s="8" t="n">
        <v>6</v>
      </c>
      <c r="I12" s="9">
        <f>H12/31</f>
        <v/>
      </c>
      <c r="J12" s="8" t="n">
        <v>2</v>
      </c>
      <c r="K12" s="9">
        <f>J12/27</f>
        <v/>
      </c>
      <c r="L12" s="8">
        <f>D12+F12+H12+J12</f>
        <v/>
      </c>
      <c r="M12" s="8" t="n">
        <v>118</v>
      </c>
      <c r="N12" s="9">
        <f>IF(M12="","",L12/M12)</f>
        <v/>
      </c>
      <c r="O12" s="7">
        <f>IF(N12&gt;=0.85,"Muito fácil",IF(N12&gt;=0.7,"Fácil",IF(N12&gt;=0.4,"Médio",IF(N12&gt;=0.2,"Difícil","Muito difícil"))))</f>
        <v/>
      </c>
      <c r="P12" s="7" t="inlineStr">
        <is>
          <t>OK</t>
        </is>
      </c>
    </row>
    <row r="13">
      <c r="A13" s="10" t="inlineStr">
        <is>
          <t>Simulado 01</t>
        </is>
      </c>
      <c r="B13" s="11" t="n">
        <v>12</v>
      </c>
      <c r="C13" s="11" t="inlineStr">
        <is>
          <t>A</t>
        </is>
      </c>
      <c r="D13" s="11" t="n">
        <v>13</v>
      </c>
      <c r="E13" s="12">
        <f>D13/27</f>
        <v/>
      </c>
      <c r="F13" s="11" t="n">
        <v>11</v>
      </c>
      <c r="G13" s="12">
        <f>F13/33</f>
        <v/>
      </c>
      <c r="H13" s="11" t="n">
        <v>14</v>
      </c>
      <c r="I13" s="12">
        <f>H13/31</f>
        <v/>
      </c>
      <c r="J13" s="11" t="n">
        <v>16</v>
      </c>
      <c r="K13" s="12">
        <f>J13/27</f>
        <v/>
      </c>
      <c r="L13" s="11">
        <f>D13+F13+H13+J13</f>
        <v/>
      </c>
      <c r="M13" s="11" t="n">
        <v>118</v>
      </c>
      <c r="N13" s="12">
        <f>IF(M13="","",L13/M13)</f>
        <v/>
      </c>
      <c r="O13" s="10">
        <f>IF(N13&gt;=0.85,"Muito fácil",IF(N13&gt;=0.7,"Fácil",IF(N13&gt;=0.4,"Médio",IF(N13&gt;=0.2,"Difícil","Muito difícil"))))</f>
        <v/>
      </c>
      <c r="P13" s="10" t="inlineStr">
        <is>
          <t>OK</t>
        </is>
      </c>
    </row>
    <row r="14">
      <c r="A14" s="7" t="inlineStr">
        <is>
          <t>Simulado 01</t>
        </is>
      </c>
      <c r="B14" s="8" t="n">
        <v>13</v>
      </c>
      <c r="C14" s="8" t="inlineStr">
        <is>
          <t>E</t>
        </is>
      </c>
      <c r="D14" s="8" t="n">
        <v>24</v>
      </c>
      <c r="E14" s="9">
        <f>D14/27</f>
        <v/>
      </c>
      <c r="F14" s="8" t="n">
        <v>25</v>
      </c>
      <c r="G14" s="9">
        <f>F14/33</f>
        <v/>
      </c>
      <c r="H14" s="8" t="n">
        <v>24</v>
      </c>
      <c r="I14" s="9">
        <f>H14/31</f>
        <v/>
      </c>
      <c r="J14" s="8" t="n">
        <v>26</v>
      </c>
      <c r="K14" s="9">
        <f>J14/27</f>
        <v/>
      </c>
      <c r="L14" s="8">
        <f>D14+F14+H14+J14</f>
        <v/>
      </c>
      <c r="M14" s="8" t="n">
        <v>118</v>
      </c>
      <c r="N14" s="9">
        <f>IF(M14="","",L14/M14)</f>
        <v/>
      </c>
      <c r="O14" s="7">
        <f>IF(N14&gt;=0.85,"Muito fácil",IF(N14&gt;=0.7,"Fácil",IF(N14&gt;=0.4,"Médio",IF(N14&gt;=0.2,"Difícil","Muito difícil"))))</f>
        <v/>
      </c>
      <c r="P14" s="7" t="inlineStr">
        <is>
          <t>OK</t>
        </is>
      </c>
    </row>
    <row r="15">
      <c r="A15" s="10" t="inlineStr">
        <is>
          <t>Simulado 01</t>
        </is>
      </c>
      <c r="B15" s="11" t="n">
        <v>14</v>
      </c>
      <c r="C15" s="11" t="inlineStr">
        <is>
          <t>C</t>
        </is>
      </c>
      <c r="D15" s="11" t="n">
        <v>7</v>
      </c>
      <c r="E15" s="12">
        <f>D15/27</f>
        <v/>
      </c>
      <c r="F15" s="11" t="n">
        <v>7</v>
      </c>
      <c r="G15" s="12">
        <f>F15/33</f>
        <v/>
      </c>
      <c r="H15" s="11" t="n">
        <v>9</v>
      </c>
      <c r="I15" s="12">
        <f>H15/31</f>
        <v/>
      </c>
      <c r="J15" s="11" t="n">
        <v>3</v>
      </c>
      <c r="K15" s="12">
        <f>J15/27</f>
        <v/>
      </c>
      <c r="L15" s="11">
        <f>D15+F15+H15+J15</f>
        <v/>
      </c>
      <c r="M15" s="11" t="n">
        <v>118</v>
      </c>
      <c r="N15" s="12">
        <f>IF(M15="","",L15/M15)</f>
        <v/>
      </c>
      <c r="O15" s="10">
        <f>IF(N15&gt;=0.85,"Muito fácil",IF(N15&gt;=0.7,"Fácil",IF(N15&gt;=0.4,"Médio",IF(N15&gt;=0.2,"Difícil","Muito difícil"))))</f>
        <v/>
      </c>
      <c r="P15" s="10" t="inlineStr">
        <is>
          <t>OK</t>
        </is>
      </c>
    </row>
    <row r="16">
      <c r="A16" s="7" t="inlineStr">
        <is>
          <t>Simulado 01</t>
        </is>
      </c>
      <c r="B16" s="8" t="n">
        <v>15</v>
      </c>
      <c r="C16" s="8" t="inlineStr">
        <is>
          <t>E</t>
        </is>
      </c>
      <c r="D16" s="8" t="n">
        <v>14</v>
      </c>
      <c r="E16" s="9">
        <f>D16/27</f>
        <v/>
      </c>
      <c r="F16" s="8" t="n">
        <v>21</v>
      </c>
      <c r="G16" s="9">
        <f>F16/33</f>
        <v/>
      </c>
      <c r="H16" s="8" t="n">
        <v>19</v>
      </c>
      <c r="I16" s="9">
        <f>H16/31</f>
        <v/>
      </c>
      <c r="J16" s="8" t="n">
        <v>18</v>
      </c>
      <c r="K16" s="9">
        <f>J16/27</f>
        <v/>
      </c>
      <c r="L16" s="8">
        <f>D16+F16+H16+J16</f>
        <v/>
      </c>
      <c r="M16" s="8" t="n">
        <v>118</v>
      </c>
      <c r="N16" s="9">
        <f>IF(M16="","",L16/M16)</f>
        <v/>
      </c>
      <c r="O16" s="7">
        <f>IF(N16&gt;=0.85,"Muito fácil",IF(N16&gt;=0.7,"Fácil",IF(N16&gt;=0.4,"Médio",IF(N16&gt;=0.2,"Difícil","Muito difícil"))))</f>
        <v/>
      </c>
      <c r="P16" s="7" t="inlineStr">
        <is>
          <t>OK</t>
        </is>
      </c>
    </row>
    <row r="17">
      <c r="A17" s="10" t="inlineStr">
        <is>
          <t>Simulado 01</t>
        </is>
      </c>
      <c r="B17" s="11" t="n">
        <v>16</v>
      </c>
      <c r="C17" s="11" t="inlineStr">
        <is>
          <t>B</t>
        </is>
      </c>
      <c r="D17" s="11" t="n">
        <v>22</v>
      </c>
      <c r="E17" s="12">
        <f>D17/27</f>
        <v/>
      </c>
      <c r="F17" s="11" t="n">
        <v>28</v>
      </c>
      <c r="G17" s="12">
        <f>F17/33</f>
        <v/>
      </c>
      <c r="H17" s="11" t="n">
        <v>21</v>
      </c>
      <c r="I17" s="12">
        <f>H17/31</f>
        <v/>
      </c>
      <c r="J17" s="11" t="n">
        <v>22</v>
      </c>
      <c r="K17" s="12">
        <f>J17/27</f>
        <v/>
      </c>
      <c r="L17" s="11">
        <f>D17+F17+H17+J17</f>
        <v/>
      </c>
      <c r="M17" s="11" t="n">
        <v>118</v>
      </c>
      <c r="N17" s="12">
        <f>IF(M17="","",L17/M17)</f>
        <v/>
      </c>
      <c r="O17" s="10">
        <f>IF(N17&gt;=0.85,"Muito fácil",IF(N17&gt;=0.7,"Fácil",IF(N17&gt;=0.4,"Médio",IF(N17&gt;=0.2,"Difícil","Muito difícil"))))</f>
        <v/>
      </c>
      <c r="P17" s="10" t="inlineStr">
        <is>
          <t>OK</t>
        </is>
      </c>
    </row>
    <row r="18">
      <c r="A18" s="7" t="inlineStr">
        <is>
          <t>Simulado 01</t>
        </is>
      </c>
      <c r="B18" s="8" t="n">
        <v>17</v>
      </c>
      <c r="C18" s="8" t="inlineStr">
        <is>
          <t>C</t>
        </is>
      </c>
      <c r="D18" s="8" t="n">
        <v>3</v>
      </c>
      <c r="E18" s="9">
        <f>D18/27</f>
        <v/>
      </c>
      <c r="F18" s="8" t="n">
        <v>3</v>
      </c>
      <c r="G18" s="9">
        <f>F18/33</f>
        <v/>
      </c>
      <c r="H18" s="8" t="n">
        <v>2</v>
      </c>
      <c r="I18" s="9">
        <f>H18/31</f>
        <v/>
      </c>
      <c r="J18" s="8" t="n">
        <v>2</v>
      </c>
      <c r="K18" s="9">
        <f>J18/27</f>
        <v/>
      </c>
      <c r="L18" s="8">
        <f>D18+F18+H18+J18</f>
        <v/>
      </c>
      <c r="M18" s="8" t="n">
        <v>118</v>
      </c>
      <c r="N18" s="9">
        <f>IF(M18="","",L18/M18)</f>
        <v/>
      </c>
      <c r="O18" s="7">
        <f>IF(N18&gt;=0.85,"Muito fácil",IF(N18&gt;=0.7,"Fácil",IF(N18&gt;=0.4,"Médio",IF(N18&gt;=0.2,"Difícil","Muito difícil"))))</f>
        <v/>
      </c>
      <c r="P18" s="7" t="inlineStr">
        <is>
          <t>OK</t>
        </is>
      </c>
    </row>
    <row r="19">
      <c r="A19" s="10" t="inlineStr">
        <is>
          <t>Simulado 01</t>
        </is>
      </c>
      <c r="B19" s="11" t="n">
        <v>18</v>
      </c>
      <c r="C19" s="11" t="inlineStr">
        <is>
          <t>E</t>
        </is>
      </c>
      <c r="D19" s="11" t="n">
        <v>4</v>
      </c>
      <c r="E19" s="12">
        <f>D19/27</f>
        <v/>
      </c>
      <c r="F19" s="11" t="n">
        <v>4</v>
      </c>
      <c r="G19" s="12">
        <f>F19/33</f>
        <v/>
      </c>
      <c r="H19" s="11" t="n">
        <v>12</v>
      </c>
      <c r="I19" s="12">
        <f>H19/31</f>
        <v/>
      </c>
      <c r="J19" s="11" t="n">
        <v>10</v>
      </c>
      <c r="K19" s="12">
        <f>J19/27</f>
        <v/>
      </c>
      <c r="L19" s="11">
        <f>D19+F19+H19+J19</f>
        <v/>
      </c>
      <c r="M19" s="11" t="n">
        <v>118</v>
      </c>
      <c r="N19" s="12">
        <f>IF(M19="","",L19/M19)</f>
        <v/>
      </c>
      <c r="O19" s="10">
        <f>IF(N19&gt;=0.85,"Muito fácil",IF(N19&gt;=0.7,"Fácil",IF(N19&gt;=0.4,"Médio",IF(N19&gt;=0.2,"Difícil","Muito difícil"))))</f>
        <v/>
      </c>
      <c r="P19" s="10" t="inlineStr">
        <is>
          <t>OK</t>
        </is>
      </c>
    </row>
    <row r="20">
      <c r="A20" s="7" t="inlineStr">
        <is>
          <t>Simulado 01</t>
        </is>
      </c>
      <c r="B20" s="8" t="n">
        <v>19</v>
      </c>
      <c r="C20" s="8" t="inlineStr">
        <is>
          <t>E</t>
        </is>
      </c>
      <c r="D20" s="8" t="n">
        <v>20</v>
      </c>
      <c r="E20" s="9">
        <f>D20/27</f>
        <v/>
      </c>
      <c r="F20" s="8" t="n">
        <v>32</v>
      </c>
      <c r="G20" s="9">
        <f>F20/33</f>
        <v/>
      </c>
      <c r="H20" s="8" t="n">
        <v>24</v>
      </c>
      <c r="I20" s="9">
        <f>H20/31</f>
        <v/>
      </c>
      <c r="J20" s="8" t="n">
        <v>22</v>
      </c>
      <c r="K20" s="9">
        <f>J20/27</f>
        <v/>
      </c>
      <c r="L20" s="8">
        <f>D20+F20+H20+J20</f>
        <v/>
      </c>
      <c r="M20" s="8" t="n">
        <v>118</v>
      </c>
      <c r="N20" s="9">
        <f>IF(M20="","",L20/M20)</f>
        <v/>
      </c>
      <c r="O20" s="7">
        <f>IF(N20&gt;=0.85,"Muito fácil",IF(N20&gt;=0.7,"Fácil",IF(N20&gt;=0.4,"Médio",IF(N20&gt;=0.2,"Difícil","Muito difícil"))))</f>
        <v/>
      </c>
      <c r="P20" s="7" t="inlineStr">
        <is>
          <t>OK</t>
        </is>
      </c>
    </row>
    <row r="21">
      <c r="A21" s="10" t="inlineStr">
        <is>
          <t>Simulado 01</t>
        </is>
      </c>
      <c r="B21" s="11" t="n">
        <v>20</v>
      </c>
      <c r="C21" s="11" t="inlineStr">
        <is>
          <t>B</t>
        </is>
      </c>
      <c r="D21" s="11" t="n">
        <v>3</v>
      </c>
      <c r="E21" s="12">
        <f>D21/27</f>
        <v/>
      </c>
      <c r="F21" s="11" t="n">
        <v>1</v>
      </c>
      <c r="G21" s="12">
        <f>F21/33</f>
        <v/>
      </c>
      <c r="H21" s="11" t="n">
        <v>1</v>
      </c>
      <c r="I21" s="12">
        <f>H21/31</f>
        <v/>
      </c>
      <c r="J21" s="11" t="n">
        <v>1</v>
      </c>
      <c r="K21" s="12">
        <f>J21/27</f>
        <v/>
      </c>
      <c r="L21" s="11">
        <f>D21+F21+H21+J21</f>
        <v/>
      </c>
      <c r="M21" s="11" t="n">
        <v>118</v>
      </c>
      <c r="N21" s="12">
        <f>IF(M21="","",L21/M21)</f>
        <v/>
      </c>
      <c r="O21" s="10">
        <f>IF(N21&gt;=0.85,"Muito fácil",IF(N21&gt;=0.7,"Fácil",IF(N21&gt;=0.4,"Médio",IF(N21&gt;=0.2,"Difícil","Muito difícil"))))</f>
        <v/>
      </c>
      <c r="P21" s="10" t="inlineStr">
        <is>
          <t>OK</t>
        </is>
      </c>
    </row>
    <row r="22">
      <c r="A22" s="7" t="inlineStr">
        <is>
          <t>Simulado 01</t>
        </is>
      </c>
      <c r="B22" s="8" t="n">
        <v>21</v>
      </c>
      <c r="C22" s="8" t="inlineStr">
        <is>
          <t>A</t>
        </is>
      </c>
      <c r="D22" s="8" t="n">
        <v>22</v>
      </c>
      <c r="E22" s="9">
        <f>D22/27</f>
        <v/>
      </c>
      <c r="F22" s="8" t="n">
        <v>28</v>
      </c>
      <c r="G22" s="9">
        <f>F22/33</f>
        <v/>
      </c>
      <c r="H22" s="8" t="n">
        <v>28</v>
      </c>
      <c r="I22" s="9">
        <f>H22/31</f>
        <v/>
      </c>
      <c r="J22" s="8" t="n">
        <v>26</v>
      </c>
      <c r="K22" s="9">
        <f>J22/27</f>
        <v/>
      </c>
      <c r="L22" s="8">
        <f>D22+F22+H22+J22</f>
        <v/>
      </c>
      <c r="M22" s="8" t="n">
        <v>118</v>
      </c>
      <c r="N22" s="9">
        <f>IF(M22="","",L22/M22)</f>
        <v/>
      </c>
      <c r="O22" s="7">
        <f>IF(N22&gt;=0.85,"Muito fácil",IF(N22&gt;=0.7,"Fácil",IF(N22&gt;=0.4,"Médio",IF(N22&gt;=0.2,"Difícil","Muito difícil"))))</f>
        <v/>
      </c>
      <c r="P22" s="7" t="inlineStr">
        <is>
          <t>OK</t>
        </is>
      </c>
    </row>
    <row r="23">
      <c r="A23" s="10" t="inlineStr">
        <is>
          <t>Simulado 01</t>
        </is>
      </c>
      <c r="B23" s="11" t="n">
        <v>22</v>
      </c>
      <c r="C23" s="11" t="inlineStr">
        <is>
          <t>B</t>
        </is>
      </c>
      <c r="D23" s="11" t="n">
        <v>20</v>
      </c>
      <c r="E23" s="12">
        <f>D23/27</f>
        <v/>
      </c>
      <c r="F23" s="11" t="n">
        <v>27</v>
      </c>
      <c r="G23" s="12">
        <f>F23/33</f>
        <v/>
      </c>
      <c r="H23" s="11" t="n">
        <v>28</v>
      </c>
      <c r="I23" s="12">
        <f>H23/31</f>
        <v/>
      </c>
      <c r="J23" s="11" t="n">
        <v>23</v>
      </c>
      <c r="K23" s="12">
        <f>J23/27</f>
        <v/>
      </c>
      <c r="L23" s="11">
        <f>D23+F23+H23+J23</f>
        <v/>
      </c>
      <c r="M23" s="11" t="n">
        <v>118</v>
      </c>
      <c r="N23" s="12">
        <f>IF(M23="","",L23/M23)</f>
        <v/>
      </c>
      <c r="O23" s="10">
        <f>IF(N23&gt;=0.85,"Muito fácil",IF(N23&gt;=0.7,"Fácil",IF(N23&gt;=0.4,"Médio",IF(N23&gt;=0.2,"Difícil","Muito difícil"))))</f>
        <v/>
      </c>
      <c r="P23" s="10" t="inlineStr">
        <is>
          <t>OK</t>
        </is>
      </c>
    </row>
    <row r="24">
      <c r="A24" s="7" t="inlineStr">
        <is>
          <t>Simulado 01</t>
        </is>
      </c>
      <c r="B24" s="8" t="n">
        <v>23</v>
      </c>
      <c r="C24" s="8" t="inlineStr">
        <is>
          <t>D</t>
        </is>
      </c>
      <c r="D24" s="8" t="n">
        <v>14</v>
      </c>
      <c r="E24" s="9">
        <f>D24/27</f>
        <v/>
      </c>
      <c r="F24" s="8" t="n">
        <v>16</v>
      </c>
      <c r="G24" s="9">
        <f>F24/33</f>
        <v/>
      </c>
      <c r="H24" s="8" t="n">
        <v>29</v>
      </c>
      <c r="I24" s="9">
        <f>H24/31</f>
        <v/>
      </c>
      <c r="J24" s="8" t="n">
        <v>21</v>
      </c>
      <c r="K24" s="9">
        <f>J24/27</f>
        <v/>
      </c>
      <c r="L24" s="8">
        <f>D24+F24+H24+J24</f>
        <v/>
      </c>
      <c r="M24" s="8" t="n">
        <v>118</v>
      </c>
      <c r="N24" s="9">
        <f>IF(M24="","",L24/M24)</f>
        <v/>
      </c>
      <c r="O24" s="7">
        <f>IF(N24&gt;=0.85,"Muito fácil",IF(N24&gt;=0.7,"Fácil",IF(N24&gt;=0.4,"Médio",IF(N24&gt;=0.2,"Difícil","Muito difícil"))))</f>
        <v/>
      </c>
      <c r="P24" s="7" t="inlineStr">
        <is>
          <t>OK</t>
        </is>
      </c>
    </row>
    <row r="25">
      <c r="A25" s="13" t="inlineStr">
        <is>
          <t>Simulado 01</t>
        </is>
      </c>
      <c r="B25" s="14" t="n">
        <v>24</v>
      </c>
      <c r="C25" s="14" t="inlineStr">
        <is>
          <t>A</t>
        </is>
      </c>
      <c r="D25" s="14" t="n"/>
      <c r="E25" s="15" t="n"/>
      <c r="F25" s="14" t="n"/>
      <c r="G25" s="15" t="n"/>
      <c r="H25" s="14" t="n"/>
      <c r="I25" s="15" t="n"/>
      <c r="J25" s="14" t="n"/>
      <c r="K25" s="15" t="n"/>
      <c r="L25" s="14" t="n"/>
      <c r="M25" s="14" t="n"/>
      <c r="N25" s="15" t="n"/>
      <c r="O25" s="13" t="n"/>
      <c r="P25" s="13" t="inlineStr">
        <is>
          <t>ANULADA - sem dados no dashboard</t>
        </is>
      </c>
    </row>
    <row r="26">
      <c r="A26" s="7" t="inlineStr">
        <is>
          <t>Simulado 01</t>
        </is>
      </c>
      <c r="B26" s="8" t="n">
        <v>25</v>
      </c>
      <c r="C26" s="8" t="inlineStr">
        <is>
          <t>E</t>
        </is>
      </c>
      <c r="D26" s="8" t="n">
        <v>14</v>
      </c>
      <c r="E26" s="9">
        <f>D26/27</f>
        <v/>
      </c>
      <c r="F26" s="8" t="n">
        <v>19</v>
      </c>
      <c r="G26" s="9">
        <f>F26/33</f>
        <v/>
      </c>
      <c r="H26" s="8" t="n">
        <v>19</v>
      </c>
      <c r="I26" s="9">
        <f>H26/31</f>
        <v/>
      </c>
      <c r="J26" s="8" t="n">
        <v>16</v>
      </c>
      <c r="K26" s="9">
        <f>J26/27</f>
        <v/>
      </c>
      <c r="L26" s="8">
        <f>D26+F26+H26+J26</f>
        <v/>
      </c>
      <c r="M26" s="8" t="n">
        <v>118</v>
      </c>
      <c r="N26" s="9">
        <f>IF(M26="","",L26/M26)</f>
        <v/>
      </c>
      <c r="O26" s="7">
        <f>IF(N26&gt;=0.85,"Muito fácil",IF(N26&gt;=0.7,"Fácil",IF(N26&gt;=0.4,"Médio",IF(N26&gt;=0.2,"Difícil","Muito difícil"))))</f>
        <v/>
      </c>
      <c r="P26" s="7" t="inlineStr">
        <is>
          <t>OK</t>
        </is>
      </c>
    </row>
    <row r="27">
      <c r="A27" s="10" t="inlineStr">
        <is>
          <t>Simulado 01</t>
        </is>
      </c>
      <c r="B27" s="11" t="n">
        <v>26</v>
      </c>
      <c r="C27" s="11" t="inlineStr">
        <is>
          <t>D</t>
        </is>
      </c>
      <c r="D27" s="11" t="n">
        <v>19</v>
      </c>
      <c r="E27" s="12">
        <f>D27/27</f>
        <v/>
      </c>
      <c r="F27" s="11" t="n">
        <v>25</v>
      </c>
      <c r="G27" s="12">
        <f>F27/33</f>
        <v/>
      </c>
      <c r="H27" s="11" t="n">
        <v>24</v>
      </c>
      <c r="I27" s="12">
        <f>H27/31</f>
        <v/>
      </c>
      <c r="J27" s="11" t="n">
        <v>23</v>
      </c>
      <c r="K27" s="12">
        <f>J27/27</f>
        <v/>
      </c>
      <c r="L27" s="11">
        <f>D27+F27+H27+J27</f>
        <v/>
      </c>
      <c r="M27" s="11" t="n">
        <v>118</v>
      </c>
      <c r="N27" s="12">
        <f>IF(M27="","",L27/M27)</f>
        <v/>
      </c>
      <c r="O27" s="10">
        <f>IF(N27&gt;=0.85,"Muito fácil",IF(N27&gt;=0.7,"Fácil",IF(N27&gt;=0.4,"Médio",IF(N27&gt;=0.2,"Difícil","Muito difícil"))))</f>
        <v/>
      </c>
      <c r="P27" s="10" t="inlineStr">
        <is>
          <t>OK</t>
        </is>
      </c>
    </row>
    <row r="28">
      <c r="A28" s="7" t="inlineStr">
        <is>
          <t>Simulado 01</t>
        </is>
      </c>
      <c r="B28" s="8" t="n">
        <v>27</v>
      </c>
      <c r="C28" s="8" t="inlineStr">
        <is>
          <t>E</t>
        </is>
      </c>
      <c r="D28" s="8" t="n">
        <v>9</v>
      </c>
      <c r="E28" s="9">
        <f>D28/27</f>
        <v/>
      </c>
      <c r="F28" s="8" t="n">
        <v>16</v>
      </c>
      <c r="G28" s="9">
        <f>F28/33</f>
        <v/>
      </c>
      <c r="H28" s="8" t="n">
        <v>17</v>
      </c>
      <c r="I28" s="9">
        <f>H28/31</f>
        <v/>
      </c>
      <c r="J28" s="8" t="n">
        <v>12</v>
      </c>
      <c r="K28" s="9">
        <f>J28/27</f>
        <v/>
      </c>
      <c r="L28" s="8">
        <f>D28+F28+H28+J28</f>
        <v/>
      </c>
      <c r="M28" s="8" t="n">
        <v>118</v>
      </c>
      <c r="N28" s="9">
        <f>IF(M28="","",L28/M28)</f>
        <v/>
      </c>
      <c r="O28" s="7">
        <f>IF(N28&gt;=0.85,"Muito fácil",IF(N28&gt;=0.7,"Fácil",IF(N28&gt;=0.4,"Médio",IF(N28&gt;=0.2,"Difícil","Muito difícil"))))</f>
        <v/>
      </c>
      <c r="P28" s="7" t="inlineStr">
        <is>
          <t>OK</t>
        </is>
      </c>
    </row>
    <row r="29">
      <c r="A29" s="10" t="inlineStr">
        <is>
          <t>Simulado 01</t>
        </is>
      </c>
      <c r="B29" s="11" t="n">
        <v>28</v>
      </c>
      <c r="C29" s="11" t="inlineStr">
        <is>
          <t>D</t>
        </is>
      </c>
      <c r="D29" s="11" t="n">
        <v>25</v>
      </c>
      <c r="E29" s="12">
        <f>D29/27</f>
        <v/>
      </c>
      <c r="F29" s="11" t="n">
        <v>31</v>
      </c>
      <c r="G29" s="12">
        <f>F29/33</f>
        <v/>
      </c>
      <c r="H29" s="11" t="n">
        <v>31</v>
      </c>
      <c r="I29" s="12">
        <f>H29/31</f>
        <v/>
      </c>
      <c r="J29" s="11" t="n">
        <v>26</v>
      </c>
      <c r="K29" s="12">
        <f>J29/27</f>
        <v/>
      </c>
      <c r="L29" s="11">
        <f>D29+F29+H29+J29</f>
        <v/>
      </c>
      <c r="M29" s="11" t="n">
        <v>118</v>
      </c>
      <c r="N29" s="12">
        <f>IF(M29="","",L29/M29)</f>
        <v/>
      </c>
      <c r="O29" s="10">
        <f>IF(N29&gt;=0.85,"Muito fácil",IF(N29&gt;=0.7,"Fácil",IF(N29&gt;=0.4,"Médio",IF(N29&gt;=0.2,"Difícil","Muito difícil"))))</f>
        <v/>
      </c>
      <c r="P29" s="10" t="inlineStr">
        <is>
          <t>OK</t>
        </is>
      </c>
    </row>
    <row r="30">
      <c r="A30" s="7" t="inlineStr">
        <is>
          <t>Simulado 01</t>
        </is>
      </c>
      <c r="B30" s="8" t="n">
        <v>29</v>
      </c>
      <c r="C30" s="8" t="inlineStr">
        <is>
          <t>D</t>
        </is>
      </c>
      <c r="D30" s="8" t="n">
        <v>26</v>
      </c>
      <c r="E30" s="9">
        <f>D30/27</f>
        <v/>
      </c>
      <c r="F30" s="8" t="n">
        <v>29</v>
      </c>
      <c r="G30" s="9">
        <f>F30/33</f>
        <v/>
      </c>
      <c r="H30" s="8" t="n">
        <v>30</v>
      </c>
      <c r="I30" s="9">
        <f>H30/31</f>
        <v/>
      </c>
      <c r="J30" s="8" t="n">
        <v>26</v>
      </c>
      <c r="K30" s="9">
        <f>J30/27</f>
        <v/>
      </c>
      <c r="L30" s="8">
        <f>D30+F30+H30+J30</f>
        <v/>
      </c>
      <c r="M30" s="8" t="n">
        <v>118</v>
      </c>
      <c r="N30" s="9">
        <f>IF(M30="","",L30/M30)</f>
        <v/>
      </c>
      <c r="O30" s="7">
        <f>IF(N30&gt;=0.85,"Muito fácil",IF(N30&gt;=0.7,"Fácil",IF(N30&gt;=0.4,"Médio",IF(N30&gt;=0.2,"Difícil","Muito difícil"))))</f>
        <v/>
      </c>
      <c r="P30" s="7" t="inlineStr">
        <is>
          <t>OK</t>
        </is>
      </c>
    </row>
    <row r="31">
      <c r="A31" s="10" t="inlineStr">
        <is>
          <t>Simulado 01</t>
        </is>
      </c>
      <c r="B31" s="11" t="n">
        <v>30</v>
      </c>
      <c r="C31" s="11" t="inlineStr">
        <is>
          <t>C</t>
        </is>
      </c>
      <c r="D31" s="11" t="n">
        <v>21</v>
      </c>
      <c r="E31" s="12">
        <f>D31/27</f>
        <v/>
      </c>
      <c r="F31" s="11" t="n">
        <v>23</v>
      </c>
      <c r="G31" s="12">
        <f>F31/33</f>
        <v/>
      </c>
      <c r="H31" s="11" t="n">
        <v>25</v>
      </c>
      <c r="I31" s="12">
        <f>H31/31</f>
        <v/>
      </c>
      <c r="J31" s="11" t="n">
        <v>24</v>
      </c>
      <c r="K31" s="12">
        <f>J31/27</f>
        <v/>
      </c>
      <c r="L31" s="11">
        <f>D31+F31+H31+J31</f>
        <v/>
      </c>
      <c r="M31" s="11" t="n">
        <v>118</v>
      </c>
      <c r="N31" s="12">
        <f>IF(M31="","",L31/M31)</f>
        <v/>
      </c>
      <c r="O31" s="10">
        <f>IF(N31&gt;=0.85,"Muito fácil",IF(N31&gt;=0.7,"Fácil",IF(N31&gt;=0.4,"Médio",IF(N31&gt;=0.2,"Difícil","Muito difícil"))))</f>
        <v/>
      </c>
      <c r="P31" s="10" t="inlineStr">
        <is>
          <t>OK</t>
        </is>
      </c>
    </row>
    <row r="32">
      <c r="A32" s="7" t="inlineStr">
        <is>
          <t>Simulado 01</t>
        </is>
      </c>
      <c r="B32" s="8" t="n">
        <v>31</v>
      </c>
      <c r="C32" s="8" t="inlineStr">
        <is>
          <t>A</t>
        </is>
      </c>
      <c r="D32" s="8" t="n">
        <v>19</v>
      </c>
      <c r="E32" s="9">
        <f>D32/27</f>
        <v/>
      </c>
      <c r="F32" s="8" t="n">
        <v>22</v>
      </c>
      <c r="G32" s="9">
        <f>F32/33</f>
        <v/>
      </c>
      <c r="H32" s="8" t="n">
        <v>20</v>
      </c>
      <c r="I32" s="9">
        <f>H32/31</f>
        <v/>
      </c>
      <c r="J32" s="8" t="n">
        <v>24</v>
      </c>
      <c r="K32" s="9">
        <f>J32/27</f>
        <v/>
      </c>
      <c r="L32" s="8">
        <f>D32+F32+H32+J32</f>
        <v/>
      </c>
      <c r="M32" s="8" t="n">
        <v>118</v>
      </c>
      <c r="N32" s="9">
        <f>IF(M32="","",L32/M32)</f>
        <v/>
      </c>
      <c r="O32" s="7">
        <f>IF(N32&gt;=0.85,"Muito fácil",IF(N32&gt;=0.7,"Fácil",IF(N32&gt;=0.4,"Médio",IF(N32&gt;=0.2,"Difícil","Muito difícil"))))</f>
        <v/>
      </c>
      <c r="P32" s="7" t="inlineStr">
        <is>
          <t>OK</t>
        </is>
      </c>
    </row>
    <row r="33">
      <c r="A33" s="10" t="inlineStr">
        <is>
          <t>Simulado 01</t>
        </is>
      </c>
      <c r="B33" s="11" t="n">
        <v>32</v>
      </c>
      <c r="C33" s="11" t="inlineStr">
        <is>
          <t>A</t>
        </is>
      </c>
      <c r="D33" s="11" t="n">
        <v>16</v>
      </c>
      <c r="E33" s="12">
        <f>D33/27</f>
        <v/>
      </c>
      <c r="F33" s="11" t="n">
        <v>21</v>
      </c>
      <c r="G33" s="12">
        <f>F33/33</f>
        <v/>
      </c>
      <c r="H33" s="11" t="n">
        <v>17</v>
      </c>
      <c r="I33" s="12">
        <f>H33/31</f>
        <v/>
      </c>
      <c r="J33" s="11" t="n">
        <v>12</v>
      </c>
      <c r="K33" s="12">
        <f>J33/27</f>
        <v/>
      </c>
      <c r="L33" s="11">
        <f>D33+F33+H33+J33</f>
        <v/>
      </c>
      <c r="M33" s="11" t="n">
        <v>118</v>
      </c>
      <c r="N33" s="12">
        <f>IF(M33="","",L33/M33)</f>
        <v/>
      </c>
      <c r="O33" s="10">
        <f>IF(N33&gt;=0.85,"Muito fácil",IF(N33&gt;=0.7,"Fácil",IF(N33&gt;=0.4,"Médio",IF(N33&gt;=0.2,"Difícil","Muito difícil"))))</f>
        <v/>
      </c>
      <c r="P33" s="10" t="inlineStr">
        <is>
          <t>OK</t>
        </is>
      </c>
    </row>
    <row r="34">
      <c r="A34" s="7" t="inlineStr">
        <is>
          <t>Simulado 01</t>
        </is>
      </c>
      <c r="B34" s="8" t="n">
        <v>33</v>
      </c>
      <c r="C34" s="8" t="inlineStr">
        <is>
          <t>A</t>
        </is>
      </c>
      <c r="D34" s="8" t="n">
        <v>20</v>
      </c>
      <c r="E34" s="9">
        <f>D34/27</f>
        <v/>
      </c>
      <c r="F34" s="8" t="n">
        <v>29</v>
      </c>
      <c r="G34" s="9">
        <f>F34/33</f>
        <v/>
      </c>
      <c r="H34" s="8" t="n">
        <v>24</v>
      </c>
      <c r="I34" s="9">
        <f>H34/31</f>
        <v/>
      </c>
      <c r="J34" s="8" t="n">
        <v>24</v>
      </c>
      <c r="K34" s="9">
        <f>J34/27</f>
        <v/>
      </c>
      <c r="L34" s="8">
        <f>D34+F34+H34+J34</f>
        <v/>
      </c>
      <c r="M34" s="8" t="n">
        <v>118</v>
      </c>
      <c r="N34" s="9">
        <f>IF(M34="","",L34/M34)</f>
        <v/>
      </c>
      <c r="O34" s="7">
        <f>IF(N34&gt;=0.85,"Muito fácil",IF(N34&gt;=0.7,"Fácil",IF(N34&gt;=0.4,"Médio",IF(N34&gt;=0.2,"Difícil","Muito difícil"))))</f>
        <v/>
      </c>
      <c r="P34" s="7" t="inlineStr">
        <is>
          <t>OK</t>
        </is>
      </c>
    </row>
    <row r="35">
      <c r="A35" s="10" t="inlineStr">
        <is>
          <t>Simulado 01</t>
        </is>
      </c>
      <c r="B35" s="11" t="n">
        <v>34</v>
      </c>
      <c r="C35" s="11" t="inlineStr">
        <is>
          <t>C</t>
        </is>
      </c>
      <c r="D35" s="11" t="n">
        <v>24</v>
      </c>
      <c r="E35" s="12">
        <f>D35/27</f>
        <v/>
      </c>
      <c r="F35" s="11" t="n">
        <v>31</v>
      </c>
      <c r="G35" s="12">
        <f>F35/33</f>
        <v/>
      </c>
      <c r="H35" s="11" t="n">
        <v>30</v>
      </c>
      <c r="I35" s="12">
        <f>H35/31</f>
        <v/>
      </c>
      <c r="J35" s="11" t="n">
        <v>26</v>
      </c>
      <c r="K35" s="12">
        <f>J35/27</f>
        <v/>
      </c>
      <c r="L35" s="11">
        <f>D35+F35+H35+J35</f>
        <v/>
      </c>
      <c r="M35" s="11" t="n">
        <v>118</v>
      </c>
      <c r="N35" s="12">
        <f>IF(M35="","",L35/M35)</f>
        <v/>
      </c>
      <c r="O35" s="10">
        <f>IF(N35&gt;=0.85,"Muito fácil",IF(N35&gt;=0.7,"Fácil",IF(N35&gt;=0.4,"Médio",IF(N35&gt;=0.2,"Difícil","Muito difícil"))))</f>
        <v/>
      </c>
      <c r="P35" s="10" t="inlineStr">
        <is>
          <t>OK</t>
        </is>
      </c>
    </row>
    <row r="36">
      <c r="A36" s="7" t="inlineStr">
        <is>
          <t>Simulado 01</t>
        </is>
      </c>
      <c r="B36" s="8" t="n">
        <v>35</v>
      </c>
      <c r="C36" s="8" t="inlineStr">
        <is>
          <t>A</t>
        </is>
      </c>
      <c r="D36" s="8" t="n">
        <v>21</v>
      </c>
      <c r="E36" s="9">
        <f>D36/27</f>
        <v/>
      </c>
      <c r="F36" s="8" t="n">
        <v>22</v>
      </c>
      <c r="G36" s="9">
        <f>F36/33</f>
        <v/>
      </c>
      <c r="H36" s="8" t="n">
        <v>27</v>
      </c>
      <c r="I36" s="9">
        <f>H36/31</f>
        <v/>
      </c>
      <c r="J36" s="8" t="n">
        <v>23</v>
      </c>
      <c r="K36" s="9">
        <f>J36/27</f>
        <v/>
      </c>
      <c r="L36" s="8">
        <f>D36+F36+H36+J36</f>
        <v/>
      </c>
      <c r="M36" s="8" t="n">
        <v>118</v>
      </c>
      <c r="N36" s="9">
        <f>IF(M36="","",L36/M36)</f>
        <v/>
      </c>
      <c r="O36" s="7">
        <f>IF(N36&gt;=0.85,"Muito fácil",IF(N36&gt;=0.7,"Fácil",IF(N36&gt;=0.4,"Médio",IF(N36&gt;=0.2,"Difícil","Muito difícil"))))</f>
        <v/>
      </c>
      <c r="P36" s="7" t="inlineStr">
        <is>
          <t>OK</t>
        </is>
      </c>
    </row>
    <row r="37">
      <c r="A37" s="10" t="inlineStr">
        <is>
          <t>Simulado 01</t>
        </is>
      </c>
      <c r="B37" s="11" t="n">
        <v>36</v>
      </c>
      <c r="C37" s="11" t="inlineStr">
        <is>
          <t>B</t>
        </is>
      </c>
      <c r="D37" s="11" t="n">
        <v>25</v>
      </c>
      <c r="E37" s="12">
        <f>D37/27</f>
        <v/>
      </c>
      <c r="F37" s="11" t="n">
        <v>32</v>
      </c>
      <c r="G37" s="12">
        <f>F37/33</f>
        <v/>
      </c>
      <c r="H37" s="11" t="n">
        <v>30</v>
      </c>
      <c r="I37" s="12">
        <f>H37/31</f>
        <v/>
      </c>
      <c r="J37" s="11" t="n">
        <v>24</v>
      </c>
      <c r="K37" s="12">
        <f>J37/27</f>
        <v/>
      </c>
      <c r="L37" s="11">
        <f>D37+F37+H37+J37</f>
        <v/>
      </c>
      <c r="M37" s="11" t="n">
        <v>118</v>
      </c>
      <c r="N37" s="12">
        <f>IF(M37="","",L37/M37)</f>
        <v/>
      </c>
      <c r="O37" s="10">
        <f>IF(N37&gt;=0.85,"Muito fácil",IF(N37&gt;=0.7,"Fácil",IF(N37&gt;=0.4,"Médio",IF(N37&gt;=0.2,"Difícil","Muito difícil"))))</f>
        <v/>
      </c>
      <c r="P37" s="10" t="inlineStr">
        <is>
          <t>OK</t>
        </is>
      </c>
    </row>
    <row r="38">
      <c r="A38" s="7" t="inlineStr">
        <is>
          <t>Simulado 01</t>
        </is>
      </c>
      <c r="B38" s="8" t="n">
        <v>37</v>
      </c>
      <c r="C38" s="8" t="inlineStr">
        <is>
          <t>B</t>
        </is>
      </c>
      <c r="D38" s="8" t="n">
        <v>4</v>
      </c>
      <c r="E38" s="9">
        <f>D38/27</f>
        <v/>
      </c>
      <c r="F38" s="8" t="n">
        <v>5</v>
      </c>
      <c r="G38" s="9">
        <f>F38/33</f>
        <v/>
      </c>
      <c r="H38" s="8" t="n">
        <v>13</v>
      </c>
      <c r="I38" s="9">
        <f>H38/31</f>
        <v/>
      </c>
      <c r="J38" s="8" t="n">
        <v>15</v>
      </c>
      <c r="K38" s="9">
        <f>J38/27</f>
        <v/>
      </c>
      <c r="L38" s="8">
        <f>D38+F38+H38+J38</f>
        <v/>
      </c>
      <c r="M38" s="8" t="n">
        <v>118</v>
      </c>
      <c r="N38" s="9">
        <f>IF(M38="","",L38/M38)</f>
        <v/>
      </c>
      <c r="O38" s="7">
        <f>IF(N38&gt;=0.85,"Muito fácil",IF(N38&gt;=0.7,"Fácil",IF(N38&gt;=0.4,"Médio",IF(N38&gt;=0.2,"Difícil","Muito difícil"))))</f>
        <v/>
      </c>
      <c r="P38" s="7" t="inlineStr">
        <is>
          <t>OK</t>
        </is>
      </c>
    </row>
    <row r="39">
      <c r="A39" s="10" t="inlineStr">
        <is>
          <t>Simulado 01</t>
        </is>
      </c>
      <c r="B39" s="11" t="n">
        <v>38</v>
      </c>
      <c r="C39" s="11" t="inlineStr">
        <is>
          <t>E</t>
        </is>
      </c>
      <c r="D39" s="11" t="n">
        <v>19</v>
      </c>
      <c r="E39" s="12">
        <f>D39/27</f>
        <v/>
      </c>
      <c r="F39" s="11" t="n">
        <v>15</v>
      </c>
      <c r="G39" s="12">
        <f>F39/33</f>
        <v/>
      </c>
      <c r="H39" s="11" t="n">
        <v>16</v>
      </c>
      <c r="I39" s="12">
        <f>H39/31</f>
        <v/>
      </c>
      <c r="J39" s="11" t="n">
        <v>16</v>
      </c>
      <c r="K39" s="12">
        <f>J39/27</f>
        <v/>
      </c>
      <c r="L39" s="11">
        <f>D39+F39+H39+J39</f>
        <v/>
      </c>
      <c r="M39" s="11" t="n">
        <v>118</v>
      </c>
      <c r="N39" s="12">
        <f>IF(M39="","",L39/M39)</f>
        <v/>
      </c>
      <c r="O39" s="10">
        <f>IF(N39&gt;=0.85,"Muito fácil",IF(N39&gt;=0.7,"Fácil",IF(N39&gt;=0.4,"Médio",IF(N39&gt;=0.2,"Difícil","Muito difícil"))))</f>
        <v/>
      </c>
      <c r="P39" s="10" t="inlineStr">
        <is>
          <t>OK</t>
        </is>
      </c>
    </row>
    <row r="40">
      <c r="A40" s="13" t="inlineStr">
        <is>
          <t>Simulado 01</t>
        </is>
      </c>
      <c r="B40" s="14" t="n">
        <v>39</v>
      </c>
      <c r="C40" s="14" t="inlineStr">
        <is>
          <t>E</t>
        </is>
      </c>
      <c r="D40" s="14" t="n">
        <v>14</v>
      </c>
      <c r="E40" s="15">
        <f>D40/27</f>
        <v/>
      </c>
      <c r="F40" s="14" t="n">
        <v>23</v>
      </c>
      <c r="G40" s="15">
        <f>F40/33</f>
        <v/>
      </c>
      <c r="H40" s="14" t="n">
        <v>22</v>
      </c>
      <c r="I40" s="15">
        <f>H40/31</f>
        <v/>
      </c>
      <c r="J40" s="14" t="n">
        <v>19</v>
      </c>
      <c r="K40" s="15">
        <f>J40/27</f>
        <v/>
      </c>
      <c r="L40" s="14">
        <f>D40+F40+H40+J40</f>
        <v/>
      </c>
      <c r="M40" s="14" t="n">
        <v>118</v>
      </c>
      <c r="N40" s="15">
        <f>IF(M40="","",L40/M40)</f>
        <v/>
      </c>
      <c r="O40" s="13">
        <f>IF(N40&gt;=0.85,"Muito fácil",IF(N40&gt;=0.7,"Fácil",IF(N40&gt;=0.4,"Médio",IF(N40&gt;=0.2,"Difícil","Muito difícil"))))</f>
        <v/>
      </c>
      <c r="P40" s="13" t="inlineStr">
        <is>
          <t>Dashboard pontuou E (soma fecha com as notas); gabarito oficial do PDF indica D</t>
        </is>
      </c>
    </row>
    <row r="41">
      <c r="A41" s="10" t="inlineStr">
        <is>
          <t>Simulado 01</t>
        </is>
      </c>
      <c r="B41" s="11" t="n">
        <v>40</v>
      </c>
      <c r="C41" s="11" t="inlineStr">
        <is>
          <t>B</t>
        </is>
      </c>
      <c r="D41" s="11" t="n">
        <v>8</v>
      </c>
      <c r="E41" s="12">
        <f>D41/27</f>
        <v/>
      </c>
      <c r="F41" s="11" t="n">
        <v>7</v>
      </c>
      <c r="G41" s="12">
        <f>F41/33</f>
        <v/>
      </c>
      <c r="H41" s="11" t="n">
        <v>11</v>
      </c>
      <c r="I41" s="12">
        <f>H41/31</f>
        <v/>
      </c>
      <c r="J41" s="11" t="n">
        <v>17</v>
      </c>
      <c r="K41" s="12">
        <f>J41/27</f>
        <v/>
      </c>
      <c r="L41" s="11">
        <f>D41+F41+H41+J41</f>
        <v/>
      </c>
      <c r="M41" s="11" t="n">
        <v>118</v>
      </c>
      <c r="N41" s="12">
        <f>IF(M41="","",L41/M41)</f>
        <v/>
      </c>
      <c r="O41" s="10">
        <f>IF(N41&gt;=0.85,"Muito fácil",IF(N41&gt;=0.7,"Fácil",IF(N41&gt;=0.4,"Médio",IF(N41&gt;=0.2,"Difícil","Muito difícil"))))</f>
        <v/>
      </c>
      <c r="P41" s="10" t="inlineStr">
        <is>
          <t>OK</t>
        </is>
      </c>
    </row>
    <row r="42">
      <c r="A42" s="7" t="inlineStr">
        <is>
          <t>Simulado 02</t>
        </is>
      </c>
      <c r="B42" s="8" t="n">
        <v>1</v>
      </c>
      <c r="C42" s="8" t="inlineStr">
        <is>
          <t>D</t>
        </is>
      </c>
      <c r="D42" s="8" t="n">
        <v>4</v>
      </c>
      <c r="E42" s="9">
        <f>D42/28</f>
        <v/>
      </c>
      <c r="F42" s="8" t="n">
        <v>4</v>
      </c>
      <c r="G42" s="9">
        <f>F42/32</f>
        <v/>
      </c>
      <c r="H42" s="8" t="n">
        <v>8</v>
      </c>
      <c r="I42" s="9">
        <f>H42/31</f>
        <v/>
      </c>
      <c r="J42" s="8" t="n">
        <v>15</v>
      </c>
      <c r="K42" s="9">
        <f>J42/29</f>
        <v/>
      </c>
      <c r="L42" s="8">
        <f>D42+F42+H42+J42</f>
        <v/>
      </c>
      <c r="M42" s="8" t="n">
        <v>120</v>
      </c>
      <c r="N42" s="9">
        <f>IF(M42="","",L42/M42)</f>
        <v/>
      </c>
      <c r="O42" s="7">
        <f>IF(N42&gt;=0.85,"Muito fácil",IF(N42&gt;=0.7,"Fácil",IF(N42&gt;=0.4,"Médio",IF(N42&gt;=0.2,"Difícil","Muito difícil"))))</f>
        <v/>
      </c>
      <c r="P42" s="7" t="inlineStr">
        <is>
          <t>OK</t>
        </is>
      </c>
    </row>
    <row r="43">
      <c r="A43" s="10" t="inlineStr">
        <is>
          <t>Simulado 02</t>
        </is>
      </c>
      <c r="B43" s="11" t="n">
        <v>2</v>
      </c>
      <c r="C43" s="11" t="inlineStr">
        <is>
          <t>B</t>
        </is>
      </c>
      <c r="D43" s="11" t="n">
        <v>20</v>
      </c>
      <c r="E43" s="12">
        <f>D43/28</f>
        <v/>
      </c>
      <c r="F43" s="11" t="n">
        <v>21</v>
      </c>
      <c r="G43" s="12">
        <f>F43/32</f>
        <v/>
      </c>
      <c r="H43" s="11" t="n">
        <v>21</v>
      </c>
      <c r="I43" s="12">
        <f>H43/31</f>
        <v/>
      </c>
      <c r="J43" s="11" t="n">
        <v>21</v>
      </c>
      <c r="K43" s="12">
        <f>J43/29</f>
        <v/>
      </c>
      <c r="L43" s="11">
        <f>D43+F43+H43+J43</f>
        <v/>
      </c>
      <c r="M43" s="11" t="n">
        <v>120</v>
      </c>
      <c r="N43" s="12">
        <f>IF(M43="","",L43/M43)</f>
        <v/>
      </c>
      <c r="O43" s="10">
        <f>IF(N43&gt;=0.85,"Muito fácil",IF(N43&gt;=0.7,"Fácil",IF(N43&gt;=0.4,"Médio",IF(N43&gt;=0.2,"Difícil","Muito difícil"))))</f>
        <v/>
      </c>
      <c r="P43" s="10" t="inlineStr">
        <is>
          <t>OK</t>
        </is>
      </c>
    </row>
    <row r="44">
      <c r="A44" s="7" t="inlineStr">
        <is>
          <t>Simulado 02</t>
        </is>
      </c>
      <c r="B44" s="8" t="n">
        <v>3</v>
      </c>
      <c r="C44" s="8" t="inlineStr">
        <is>
          <t>C</t>
        </is>
      </c>
      <c r="D44" s="8" t="n">
        <v>25</v>
      </c>
      <c r="E44" s="9">
        <f>D44/28</f>
        <v/>
      </c>
      <c r="F44" s="8" t="n">
        <v>30</v>
      </c>
      <c r="G44" s="9">
        <f>F44/32</f>
        <v/>
      </c>
      <c r="H44" s="8" t="n">
        <v>28</v>
      </c>
      <c r="I44" s="9">
        <f>H44/31</f>
        <v/>
      </c>
      <c r="J44" s="8" t="n">
        <v>28</v>
      </c>
      <c r="K44" s="9">
        <f>J44/29</f>
        <v/>
      </c>
      <c r="L44" s="8">
        <f>D44+F44+H44+J44</f>
        <v/>
      </c>
      <c r="M44" s="8" t="n">
        <v>120</v>
      </c>
      <c r="N44" s="9">
        <f>IF(M44="","",L44/M44)</f>
        <v/>
      </c>
      <c r="O44" s="7">
        <f>IF(N44&gt;=0.85,"Muito fácil",IF(N44&gt;=0.7,"Fácil",IF(N44&gt;=0.4,"Médio",IF(N44&gt;=0.2,"Difícil","Muito difícil"))))</f>
        <v/>
      </c>
      <c r="P44" s="7" t="inlineStr">
        <is>
          <t>OK</t>
        </is>
      </c>
    </row>
    <row r="45">
      <c r="A45" s="10" t="inlineStr">
        <is>
          <t>Simulado 02</t>
        </is>
      </c>
      <c r="B45" s="11" t="n">
        <v>4</v>
      </c>
      <c r="C45" s="11" t="inlineStr">
        <is>
          <t>C</t>
        </is>
      </c>
      <c r="D45" s="11" t="n">
        <v>14</v>
      </c>
      <c r="E45" s="12">
        <f>D45/28</f>
        <v/>
      </c>
      <c r="F45" s="11" t="n">
        <v>11</v>
      </c>
      <c r="G45" s="12">
        <f>F45/32</f>
        <v/>
      </c>
      <c r="H45" s="11" t="n">
        <v>17</v>
      </c>
      <c r="I45" s="12">
        <f>H45/31</f>
        <v/>
      </c>
      <c r="J45" s="11" t="n">
        <v>14</v>
      </c>
      <c r="K45" s="12">
        <f>J45/29</f>
        <v/>
      </c>
      <c r="L45" s="11">
        <f>D45+F45+H45+J45</f>
        <v/>
      </c>
      <c r="M45" s="11" t="n">
        <v>120</v>
      </c>
      <c r="N45" s="12">
        <f>IF(M45="","",L45/M45)</f>
        <v/>
      </c>
      <c r="O45" s="10">
        <f>IF(N45&gt;=0.85,"Muito fácil",IF(N45&gt;=0.7,"Fácil",IF(N45&gt;=0.4,"Médio",IF(N45&gt;=0.2,"Difícil","Muito difícil"))))</f>
        <v/>
      </c>
      <c r="P45" s="10" t="inlineStr">
        <is>
          <t>OK</t>
        </is>
      </c>
    </row>
    <row r="46">
      <c r="A46" s="7" t="inlineStr">
        <is>
          <t>Simulado 02</t>
        </is>
      </c>
      <c r="B46" s="8" t="n">
        <v>5</v>
      </c>
      <c r="C46" s="8" t="inlineStr">
        <is>
          <t>C</t>
        </is>
      </c>
      <c r="D46" s="8" t="n">
        <v>19</v>
      </c>
      <c r="E46" s="9">
        <f>D46/28</f>
        <v/>
      </c>
      <c r="F46" s="8" t="n">
        <v>20</v>
      </c>
      <c r="G46" s="9">
        <f>F46/32</f>
        <v/>
      </c>
      <c r="H46" s="8" t="n">
        <v>10</v>
      </c>
      <c r="I46" s="9">
        <f>H46/31</f>
        <v/>
      </c>
      <c r="J46" s="8" t="n">
        <v>19</v>
      </c>
      <c r="K46" s="9">
        <f>J46/29</f>
        <v/>
      </c>
      <c r="L46" s="8">
        <f>D46+F46+H46+J46</f>
        <v/>
      </c>
      <c r="M46" s="8" t="n">
        <v>120</v>
      </c>
      <c r="N46" s="9">
        <f>IF(M46="","",L46/M46)</f>
        <v/>
      </c>
      <c r="O46" s="7">
        <f>IF(N46&gt;=0.85,"Muito fácil",IF(N46&gt;=0.7,"Fácil",IF(N46&gt;=0.4,"Médio",IF(N46&gt;=0.2,"Difícil","Muito difícil"))))</f>
        <v/>
      </c>
      <c r="P46" s="7" t="inlineStr">
        <is>
          <t>OK</t>
        </is>
      </c>
    </row>
    <row r="47">
      <c r="A47" s="10" t="inlineStr">
        <is>
          <t>Simulado 02</t>
        </is>
      </c>
      <c r="B47" s="11" t="n">
        <v>6</v>
      </c>
      <c r="C47" s="11" t="inlineStr">
        <is>
          <t>D</t>
        </is>
      </c>
      <c r="D47" s="11" t="n">
        <v>15</v>
      </c>
      <c r="E47" s="12">
        <f>D47/28</f>
        <v/>
      </c>
      <c r="F47" s="11" t="n">
        <v>25</v>
      </c>
      <c r="G47" s="12">
        <f>F47/32</f>
        <v/>
      </c>
      <c r="H47" s="11" t="n">
        <v>22</v>
      </c>
      <c r="I47" s="12">
        <f>H47/31</f>
        <v/>
      </c>
      <c r="J47" s="11" t="n">
        <v>21</v>
      </c>
      <c r="K47" s="12">
        <f>J47/29</f>
        <v/>
      </c>
      <c r="L47" s="11">
        <f>D47+F47+H47+J47</f>
        <v/>
      </c>
      <c r="M47" s="11" t="n">
        <v>120</v>
      </c>
      <c r="N47" s="12">
        <f>IF(M47="","",L47/M47)</f>
        <v/>
      </c>
      <c r="O47" s="10">
        <f>IF(N47&gt;=0.85,"Muito fácil",IF(N47&gt;=0.7,"Fácil",IF(N47&gt;=0.4,"Médio",IF(N47&gt;=0.2,"Difícil","Muito difícil"))))</f>
        <v/>
      </c>
      <c r="P47" s="10" t="inlineStr">
        <is>
          <t>OK</t>
        </is>
      </c>
    </row>
    <row r="48">
      <c r="A48" s="7" t="inlineStr">
        <is>
          <t>Simulado 02</t>
        </is>
      </c>
      <c r="B48" s="8" t="n">
        <v>7</v>
      </c>
      <c r="C48" s="8" t="inlineStr">
        <is>
          <t>C</t>
        </is>
      </c>
      <c r="D48" s="8" t="n">
        <v>21</v>
      </c>
      <c r="E48" s="9">
        <f>D48/28</f>
        <v/>
      </c>
      <c r="F48" s="8" t="n">
        <v>27</v>
      </c>
      <c r="G48" s="9">
        <f>F48/32</f>
        <v/>
      </c>
      <c r="H48" s="8" t="n">
        <v>26</v>
      </c>
      <c r="I48" s="9">
        <f>H48/31</f>
        <v/>
      </c>
      <c r="J48" s="8" t="n">
        <v>23</v>
      </c>
      <c r="K48" s="9">
        <f>J48/29</f>
        <v/>
      </c>
      <c r="L48" s="8">
        <f>D48+F48+H48+J48</f>
        <v/>
      </c>
      <c r="M48" s="8" t="n">
        <v>120</v>
      </c>
      <c r="N48" s="9">
        <f>IF(M48="","",L48/M48)</f>
        <v/>
      </c>
      <c r="O48" s="7">
        <f>IF(N48&gt;=0.85,"Muito fácil",IF(N48&gt;=0.7,"Fácil",IF(N48&gt;=0.4,"Médio",IF(N48&gt;=0.2,"Difícil","Muito difícil"))))</f>
        <v/>
      </c>
      <c r="P48" s="7" t="inlineStr">
        <is>
          <t>OK</t>
        </is>
      </c>
    </row>
    <row r="49">
      <c r="A49" s="10" t="inlineStr">
        <is>
          <t>Simulado 02</t>
        </is>
      </c>
      <c r="B49" s="11" t="n">
        <v>8</v>
      </c>
      <c r="C49" s="11" t="inlineStr">
        <is>
          <t>B</t>
        </is>
      </c>
      <c r="D49" s="11" t="n">
        <v>21</v>
      </c>
      <c r="E49" s="12">
        <f>D49/28</f>
        <v/>
      </c>
      <c r="F49" s="11" t="n">
        <v>22</v>
      </c>
      <c r="G49" s="12">
        <f>F49/32</f>
        <v/>
      </c>
      <c r="H49" s="11" t="n">
        <v>25</v>
      </c>
      <c r="I49" s="12">
        <f>H49/31</f>
        <v/>
      </c>
      <c r="J49" s="11" t="n">
        <v>24</v>
      </c>
      <c r="K49" s="12">
        <f>J49/29</f>
        <v/>
      </c>
      <c r="L49" s="11">
        <f>D49+F49+H49+J49</f>
        <v/>
      </c>
      <c r="M49" s="11" t="n">
        <v>120</v>
      </c>
      <c r="N49" s="12">
        <f>IF(M49="","",L49/M49)</f>
        <v/>
      </c>
      <c r="O49" s="10">
        <f>IF(N49&gt;=0.85,"Muito fácil",IF(N49&gt;=0.7,"Fácil",IF(N49&gt;=0.4,"Médio",IF(N49&gt;=0.2,"Difícil","Muito difícil"))))</f>
        <v/>
      </c>
      <c r="P49" s="10" t="inlineStr">
        <is>
          <t>OK</t>
        </is>
      </c>
    </row>
    <row r="50">
      <c r="A50" s="7" t="inlineStr">
        <is>
          <t>Simulado 02</t>
        </is>
      </c>
      <c r="B50" s="8" t="n">
        <v>9</v>
      </c>
      <c r="C50" s="8" t="inlineStr">
        <is>
          <t>D</t>
        </is>
      </c>
      <c r="D50" s="8" t="n">
        <v>21</v>
      </c>
      <c r="E50" s="9">
        <f>D50/28</f>
        <v/>
      </c>
      <c r="F50" s="8" t="n">
        <v>27</v>
      </c>
      <c r="G50" s="9">
        <f>F50/32</f>
        <v/>
      </c>
      <c r="H50" s="8" t="n">
        <v>23</v>
      </c>
      <c r="I50" s="9">
        <f>H50/31</f>
        <v/>
      </c>
      <c r="J50" s="8" t="n">
        <v>23</v>
      </c>
      <c r="K50" s="9">
        <f>J50/29</f>
        <v/>
      </c>
      <c r="L50" s="8">
        <f>D50+F50+H50+J50</f>
        <v/>
      </c>
      <c r="M50" s="8" t="n">
        <v>120</v>
      </c>
      <c r="N50" s="9">
        <f>IF(M50="","",L50/M50)</f>
        <v/>
      </c>
      <c r="O50" s="7">
        <f>IF(N50&gt;=0.85,"Muito fácil",IF(N50&gt;=0.7,"Fácil",IF(N50&gt;=0.4,"Médio",IF(N50&gt;=0.2,"Difícil","Muito difícil"))))</f>
        <v/>
      </c>
      <c r="P50" s="7" t="inlineStr">
        <is>
          <t>OK</t>
        </is>
      </c>
    </row>
    <row r="51">
      <c r="A51" s="10" t="inlineStr">
        <is>
          <t>Simulado 02</t>
        </is>
      </c>
      <c r="B51" s="11" t="n">
        <v>10</v>
      </c>
      <c r="C51" s="11" t="inlineStr">
        <is>
          <t>A</t>
        </is>
      </c>
      <c r="D51" s="11" t="n">
        <v>10</v>
      </c>
      <c r="E51" s="12">
        <f>D51/28</f>
        <v/>
      </c>
      <c r="F51" s="11" t="n">
        <v>6</v>
      </c>
      <c r="G51" s="12">
        <f>F51/32</f>
        <v/>
      </c>
      <c r="H51" s="11" t="n">
        <v>9</v>
      </c>
      <c r="I51" s="12">
        <f>H51/31</f>
        <v/>
      </c>
      <c r="J51" s="11" t="n">
        <v>5</v>
      </c>
      <c r="K51" s="12">
        <f>J51/29</f>
        <v/>
      </c>
      <c r="L51" s="11">
        <f>D51+F51+H51+J51</f>
        <v/>
      </c>
      <c r="M51" s="11" t="n">
        <v>120</v>
      </c>
      <c r="N51" s="12">
        <f>IF(M51="","",L51/M51)</f>
        <v/>
      </c>
      <c r="O51" s="10">
        <f>IF(N51&gt;=0.85,"Muito fácil",IF(N51&gt;=0.7,"Fácil",IF(N51&gt;=0.4,"Médio",IF(N51&gt;=0.2,"Difícil","Muito difícil"))))</f>
        <v/>
      </c>
      <c r="P51" s="10" t="inlineStr">
        <is>
          <t>OK</t>
        </is>
      </c>
    </row>
    <row r="52">
      <c r="A52" s="7" t="inlineStr">
        <is>
          <t>Simulado 02</t>
        </is>
      </c>
      <c r="B52" s="8" t="n">
        <v>11</v>
      </c>
      <c r="C52" s="8" t="inlineStr">
        <is>
          <t>D</t>
        </is>
      </c>
      <c r="D52" s="8" t="n">
        <v>10</v>
      </c>
      <c r="E52" s="9">
        <f>D52/28</f>
        <v/>
      </c>
      <c r="F52" s="8" t="n">
        <v>12</v>
      </c>
      <c r="G52" s="9">
        <f>F52/32</f>
        <v/>
      </c>
      <c r="H52" s="8" t="n">
        <v>19</v>
      </c>
      <c r="I52" s="9">
        <f>H52/31</f>
        <v/>
      </c>
      <c r="J52" s="8" t="n">
        <v>21</v>
      </c>
      <c r="K52" s="9">
        <f>J52/29</f>
        <v/>
      </c>
      <c r="L52" s="8">
        <f>D52+F52+H52+J52</f>
        <v/>
      </c>
      <c r="M52" s="8" t="n">
        <v>120</v>
      </c>
      <c r="N52" s="9">
        <f>IF(M52="","",L52/M52)</f>
        <v/>
      </c>
      <c r="O52" s="7">
        <f>IF(N52&gt;=0.85,"Muito fácil",IF(N52&gt;=0.7,"Fácil",IF(N52&gt;=0.4,"Médio",IF(N52&gt;=0.2,"Difícil","Muito difícil"))))</f>
        <v/>
      </c>
      <c r="P52" s="7" t="inlineStr">
        <is>
          <t>OK</t>
        </is>
      </c>
    </row>
    <row r="53">
      <c r="A53" s="10" t="inlineStr">
        <is>
          <t>Simulado 02</t>
        </is>
      </c>
      <c r="B53" s="11" t="n">
        <v>12</v>
      </c>
      <c r="C53" s="11" t="inlineStr">
        <is>
          <t>C</t>
        </is>
      </c>
      <c r="D53" s="11" t="n">
        <v>10</v>
      </c>
      <c r="E53" s="12">
        <f>D53/28</f>
        <v/>
      </c>
      <c r="F53" s="11" t="n">
        <v>8</v>
      </c>
      <c r="G53" s="12">
        <f>F53/32</f>
        <v/>
      </c>
      <c r="H53" s="11" t="n">
        <v>5</v>
      </c>
      <c r="I53" s="12">
        <f>H53/31</f>
        <v/>
      </c>
      <c r="J53" s="11" t="n">
        <v>14</v>
      </c>
      <c r="K53" s="12">
        <f>J53/29</f>
        <v/>
      </c>
      <c r="L53" s="11">
        <f>D53+F53+H53+J53</f>
        <v/>
      </c>
      <c r="M53" s="11" t="n">
        <v>120</v>
      </c>
      <c r="N53" s="12">
        <f>IF(M53="","",L53/M53)</f>
        <v/>
      </c>
      <c r="O53" s="10">
        <f>IF(N53&gt;=0.85,"Muito fácil",IF(N53&gt;=0.7,"Fácil",IF(N53&gt;=0.4,"Médio",IF(N53&gt;=0.2,"Difícil","Muito difícil"))))</f>
        <v/>
      </c>
      <c r="P53" s="10" t="inlineStr">
        <is>
          <t>OK</t>
        </is>
      </c>
    </row>
    <row r="54">
      <c r="A54" s="7" t="inlineStr">
        <is>
          <t>Simulado 02</t>
        </is>
      </c>
      <c r="B54" s="8" t="n">
        <v>13</v>
      </c>
      <c r="C54" s="8" t="inlineStr">
        <is>
          <t>B</t>
        </is>
      </c>
      <c r="D54" s="8" t="n">
        <v>25</v>
      </c>
      <c r="E54" s="9">
        <f>D54/28</f>
        <v/>
      </c>
      <c r="F54" s="8" t="n">
        <v>26</v>
      </c>
      <c r="G54" s="9">
        <f>F54/32</f>
        <v/>
      </c>
      <c r="H54" s="8" t="n">
        <v>29</v>
      </c>
      <c r="I54" s="9">
        <f>H54/31</f>
        <v/>
      </c>
      <c r="J54" s="8" t="n">
        <v>25</v>
      </c>
      <c r="K54" s="9">
        <f>J54/29</f>
        <v/>
      </c>
      <c r="L54" s="8">
        <f>D54+F54+H54+J54</f>
        <v/>
      </c>
      <c r="M54" s="8" t="n">
        <v>120</v>
      </c>
      <c r="N54" s="9">
        <f>IF(M54="","",L54/M54)</f>
        <v/>
      </c>
      <c r="O54" s="7">
        <f>IF(N54&gt;=0.85,"Muito fácil",IF(N54&gt;=0.7,"Fácil",IF(N54&gt;=0.4,"Médio",IF(N54&gt;=0.2,"Difícil","Muito difícil"))))</f>
        <v/>
      </c>
      <c r="P54" s="7" t="inlineStr">
        <is>
          <t>OK</t>
        </is>
      </c>
    </row>
    <row r="55">
      <c r="A55" s="10" t="inlineStr">
        <is>
          <t>Simulado 02</t>
        </is>
      </c>
      <c r="B55" s="11" t="n">
        <v>14</v>
      </c>
      <c r="C55" s="11" t="inlineStr">
        <is>
          <t>A</t>
        </is>
      </c>
      <c r="D55" s="11" t="n">
        <v>14</v>
      </c>
      <c r="E55" s="12">
        <f>D55/28</f>
        <v/>
      </c>
      <c r="F55" s="11" t="n">
        <v>21</v>
      </c>
      <c r="G55" s="12">
        <f>F55/32</f>
        <v/>
      </c>
      <c r="H55" s="11" t="n">
        <v>27</v>
      </c>
      <c r="I55" s="12">
        <f>H55/31</f>
        <v/>
      </c>
      <c r="J55" s="11" t="n">
        <v>26</v>
      </c>
      <c r="K55" s="12">
        <f>J55/29</f>
        <v/>
      </c>
      <c r="L55" s="11">
        <f>D55+F55+H55+J55</f>
        <v/>
      </c>
      <c r="M55" s="11" t="n">
        <v>120</v>
      </c>
      <c r="N55" s="12">
        <f>IF(M55="","",L55/M55)</f>
        <v/>
      </c>
      <c r="O55" s="10">
        <f>IF(N55&gt;=0.85,"Muito fácil",IF(N55&gt;=0.7,"Fácil",IF(N55&gt;=0.4,"Médio",IF(N55&gt;=0.2,"Difícil","Muito difícil"))))</f>
        <v/>
      </c>
      <c r="P55" s="10" t="inlineStr">
        <is>
          <t>OK</t>
        </is>
      </c>
    </row>
    <row r="56">
      <c r="A56" s="7" t="inlineStr">
        <is>
          <t>Simulado 02</t>
        </is>
      </c>
      <c r="B56" s="8" t="n">
        <v>15</v>
      </c>
      <c r="C56" s="8" t="inlineStr">
        <is>
          <t>B</t>
        </is>
      </c>
      <c r="D56" s="8" t="n">
        <v>22</v>
      </c>
      <c r="E56" s="9">
        <f>D56/28</f>
        <v/>
      </c>
      <c r="F56" s="8" t="n">
        <v>22</v>
      </c>
      <c r="G56" s="9">
        <f>F56/32</f>
        <v/>
      </c>
      <c r="H56" s="8" t="n">
        <v>22</v>
      </c>
      <c r="I56" s="9">
        <f>H56/31</f>
        <v/>
      </c>
      <c r="J56" s="8" t="n">
        <v>17</v>
      </c>
      <c r="K56" s="9">
        <f>J56/29</f>
        <v/>
      </c>
      <c r="L56" s="8">
        <f>D56+F56+H56+J56</f>
        <v/>
      </c>
      <c r="M56" s="8" t="n">
        <v>120</v>
      </c>
      <c r="N56" s="9">
        <f>IF(M56="","",L56/M56)</f>
        <v/>
      </c>
      <c r="O56" s="7">
        <f>IF(N56&gt;=0.85,"Muito fácil",IF(N56&gt;=0.7,"Fácil",IF(N56&gt;=0.4,"Médio",IF(N56&gt;=0.2,"Difícil","Muito difícil"))))</f>
        <v/>
      </c>
      <c r="P56" s="7" t="inlineStr">
        <is>
          <t>OK</t>
        </is>
      </c>
    </row>
    <row r="57">
      <c r="A57" s="10" t="inlineStr">
        <is>
          <t>Simulado 02</t>
        </is>
      </c>
      <c r="B57" s="11" t="n">
        <v>16</v>
      </c>
      <c r="C57" s="11" t="inlineStr">
        <is>
          <t>B</t>
        </is>
      </c>
      <c r="D57" s="11" t="n">
        <v>8</v>
      </c>
      <c r="E57" s="12">
        <f>D57/28</f>
        <v/>
      </c>
      <c r="F57" s="11" t="n">
        <v>4</v>
      </c>
      <c r="G57" s="12">
        <f>F57/32</f>
        <v/>
      </c>
      <c r="H57" s="11" t="n">
        <v>8</v>
      </c>
      <c r="I57" s="12">
        <f>H57/31</f>
        <v/>
      </c>
      <c r="J57" s="11" t="n">
        <v>5</v>
      </c>
      <c r="K57" s="12">
        <f>J57/29</f>
        <v/>
      </c>
      <c r="L57" s="11">
        <f>D57+F57+H57+J57</f>
        <v/>
      </c>
      <c r="M57" s="11" t="n">
        <v>120</v>
      </c>
      <c r="N57" s="12">
        <f>IF(M57="","",L57/M57)</f>
        <v/>
      </c>
      <c r="O57" s="10">
        <f>IF(N57&gt;=0.85,"Muito fácil",IF(N57&gt;=0.7,"Fácil",IF(N57&gt;=0.4,"Médio",IF(N57&gt;=0.2,"Difícil","Muito difícil"))))</f>
        <v/>
      </c>
      <c r="P57" s="10" t="inlineStr">
        <is>
          <t>OK</t>
        </is>
      </c>
    </row>
    <row r="58">
      <c r="A58" s="7" t="inlineStr">
        <is>
          <t>Simulado 02</t>
        </is>
      </c>
      <c r="B58" s="8" t="n">
        <v>17</v>
      </c>
      <c r="C58" s="8" t="inlineStr">
        <is>
          <t>A</t>
        </is>
      </c>
      <c r="D58" s="8" t="n">
        <v>13</v>
      </c>
      <c r="E58" s="9">
        <f>D58/28</f>
        <v/>
      </c>
      <c r="F58" s="8" t="n">
        <v>13</v>
      </c>
      <c r="G58" s="9">
        <f>F58/32</f>
        <v/>
      </c>
      <c r="H58" s="8" t="n">
        <v>19</v>
      </c>
      <c r="I58" s="9">
        <f>H58/31</f>
        <v/>
      </c>
      <c r="J58" s="8" t="n">
        <v>19</v>
      </c>
      <c r="K58" s="9">
        <f>J58/29</f>
        <v/>
      </c>
      <c r="L58" s="8">
        <f>D58+F58+H58+J58</f>
        <v/>
      </c>
      <c r="M58" s="8" t="n">
        <v>120</v>
      </c>
      <c r="N58" s="9">
        <f>IF(M58="","",L58/M58)</f>
        <v/>
      </c>
      <c r="O58" s="7">
        <f>IF(N58&gt;=0.85,"Muito fácil",IF(N58&gt;=0.7,"Fácil",IF(N58&gt;=0.4,"Médio",IF(N58&gt;=0.2,"Difícil","Muito difícil"))))</f>
        <v/>
      </c>
      <c r="P58" s="7" t="inlineStr">
        <is>
          <t>OK</t>
        </is>
      </c>
    </row>
    <row r="59">
      <c r="A59" s="10" t="inlineStr">
        <is>
          <t>Simulado 02</t>
        </is>
      </c>
      <c r="B59" s="11" t="n">
        <v>18</v>
      </c>
      <c r="C59" s="11" t="inlineStr">
        <is>
          <t>C</t>
        </is>
      </c>
      <c r="D59" s="11" t="n">
        <v>19</v>
      </c>
      <c r="E59" s="12">
        <f>D59/28</f>
        <v/>
      </c>
      <c r="F59" s="11" t="n">
        <v>20</v>
      </c>
      <c r="G59" s="12">
        <f>F59/32</f>
        <v/>
      </c>
      <c r="H59" s="11" t="n">
        <v>20</v>
      </c>
      <c r="I59" s="12">
        <f>H59/31</f>
        <v/>
      </c>
      <c r="J59" s="11" t="n">
        <v>24</v>
      </c>
      <c r="K59" s="12">
        <f>J59/29</f>
        <v/>
      </c>
      <c r="L59" s="11">
        <f>D59+F59+H59+J59</f>
        <v/>
      </c>
      <c r="M59" s="11" t="n">
        <v>120</v>
      </c>
      <c r="N59" s="12">
        <f>IF(M59="","",L59/M59)</f>
        <v/>
      </c>
      <c r="O59" s="10">
        <f>IF(N59&gt;=0.85,"Muito fácil",IF(N59&gt;=0.7,"Fácil",IF(N59&gt;=0.4,"Médio",IF(N59&gt;=0.2,"Difícil","Muito difícil"))))</f>
        <v/>
      </c>
      <c r="P59" s="10" t="inlineStr">
        <is>
          <t>OK</t>
        </is>
      </c>
    </row>
    <row r="60">
      <c r="A60" s="7" t="inlineStr">
        <is>
          <t>Simulado 02</t>
        </is>
      </c>
      <c r="B60" s="8" t="n">
        <v>19</v>
      </c>
      <c r="C60" s="8" t="inlineStr">
        <is>
          <t>C</t>
        </is>
      </c>
      <c r="D60" s="8" t="n">
        <v>17</v>
      </c>
      <c r="E60" s="9">
        <f>D60/28</f>
        <v/>
      </c>
      <c r="F60" s="8" t="n">
        <v>20</v>
      </c>
      <c r="G60" s="9">
        <f>F60/32</f>
        <v/>
      </c>
      <c r="H60" s="8" t="n">
        <v>23</v>
      </c>
      <c r="I60" s="9">
        <f>H60/31</f>
        <v/>
      </c>
      <c r="J60" s="8" t="n">
        <v>24</v>
      </c>
      <c r="K60" s="9">
        <f>J60/29</f>
        <v/>
      </c>
      <c r="L60" s="8">
        <f>D60+F60+H60+J60</f>
        <v/>
      </c>
      <c r="M60" s="8" t="n">
        <v>120</v>
      </c>
      <c r="N60" s="9">
        <f>IF(M60="","",L60/M60)</f>
        <v/>
      </c>
      <c r="O60" s="7">
        <f>IF(N60&gt;=0.85,"Muito fácil",IF(N60&gt;=0.7,"Fácil",IF(N60&gt;=0.4,"Médio",IF(N60&gt;=0.2,"Difícil","Muito difícil"))))</f>
        <v/>
      </c>
      <c r="P60" s="7" t="inlineStr">
        <is>
          <t>OK</t>
        </is>
      </c>
    </row>
    <row r="61">
      <c r="A61" s="10" t="inlineStr">
        <is>
          <t>Simulado 02</t>
        </is>
      </c>
      <c r="B61" s="11" t="n">
        <v>20</v>
      </c>
      <c r="C61" s="11" t="inlineStr">
        <is>
          <t>B</t>
        </is>
      </c>
      <c r="D61" s="11" t="n">
        <v>17</v>
      </c>
      <c r="E61" s="12">
        <f>D61/28</f>
        <v/>
      </c>
      <c r="F61" s="11" t="n">
        <v>16</v>
      </c>
      <c r="G61" s="12">
        <f>F61/32</f>
        <v/>
      </c>
      <c r="H61" s="11" t="n">
        <v>11</v>
      </c>
      <c r="I61" s="12">
        <f>H61/31</f>
        <v/>
      </c>
      <c r="J61" s="11" t="n">
        <v>17</v>
      </c>
      <c r="K61" s="12">
        <f>J61/29</f>
        <v/>
      </c>
      <c r="L61" s="11">
        <f>D61+F61+H61+J61</f>
        <v/>
      </c>
      <c r="M61" s="11" t="n">
        <v>120</v>
      </c>
      <c r="N61" s="12">
        <f>IF(M61="","",L61/M61)</f>
        <v/>
      </c>
      <c r="O61" s="10">
        <f>IF(N61&gt;=0.85,"Muito fácil",IF(N61&gt;=0.7,"Fácil",IF(N61&gt;=0.4,"Médio",IF(N61&gt;=0.2,"Difícil","Muito difícil"))))</f>
        <v/>
      </c>
      <c r="P61" s="10" t="inlineStr">
        <is>
          <t>OK</t>
        </is>
      </c>
    </row>
    <row r="62">
      <c r="A62" s="7" t="inlineStr">
        <is>
          <t>Simulado 02</t>
        </is>
      </c>
      <c r="B62" s="8" t="n">
        <v>21</v>
      </c>
      <c r="C62" s="8" t="inlineStr">
        <is>
          <t>A</t>
        </is>
      </c>
      <c r="D62" s="8" t="n">
        <v>10</v>
      </c>
      <c r="E62" s="9">
        <f>D62/28</f>
        <v/>
      </c>
      <c r="F62" s="8" t="n">
        <v>17</v>
      </c>
      <c r="G62" s="9">
        <f>F62/32</f>
        <v/>
      </c>
      <c r="H62" s="8" t="n">
        <v>22</v>
      </c>
      <c r="I62" s="9">
        <f>H62/31</f>
        <v/>
      </c>
      <c r="J62" s="8" t="n">
        <v>22</v>
      </c>
      <c r="K62" s="9">
        <f>J62/29</f>
        <v/>
      </c>
      <c r="L62" s="8">
        <f>D62+F62+H62+J62</f>
        <v/>
      </c>
      <c r="M62" s="8" t="n">
        <v>120</v>
      </c>
      <c r="N62" s="9">
        <f>IF(M62="","",L62/M62)</f>
        <v/>
      </c>
      <c r="O62" s="7">
        <f>IF(N62&gt;=0.85,"Muito fácil",IF(N62&gt;=0.7,"Fácil",IF(N62&gt;=0.4,"Médio",IF(N62&gt;=0.2,"Difícil","Muito difícil"))))</f>
        <v/>
      </c>
      <c r="P62" s="7" t="inlineStr">
        <is>
          <t>OK</t>
        </is>
      </c>
    </row>
    <row r="63">
      <c r="A63" s="10" t="inlineStr">
        <is>
          <t>Simulado 02</t>
        </is>
      </c>
      <c r="B63" s="11" t="n">
        <v>22</v>
      </c>
      <c r="C63" s="11" t="inlineStr">
        <is>
          <t>C</t>
        </is>
      </c>
      <c r="D63" s="11" t="n">
        <v>11</v>
      </c>
      <c r="E63" s="12">
        <f>D63/28</f>
        <v/>
      </c>
      <c r="F63" s="11" t="n">
        <v>22</v>
      </c>
      <c r="G63" s="12">
        <f>F63/32</f>
        <v/>
      </c>
      <c r="H63" s="11" t="n">
        <v>20</v>
      </c>
      <c r="I63" s="12">
        <f>H63/31</f>
        <v/>
      </c>
      <c r="J63" s="11" t="n">
        <v>20</v>
      </c>
      <c r="K63" s="12">
        <f>J63/29</f>
        <v/>
      </c>
      <c r="L63" s="11">
        <f>D63+F63+H63+J63</f>
        <v/>
      </c>
      <c r="M63" s="11" t="n">
        <v>120</v>
      </c>
      <c r="N63" s="12">
        <f>IF(M63="","",L63/M63)</f>
        <v/>
      </c>
      <c r="O63" s="10">
        <f>IF(N63&gt;=0.85,"Muito fácil",IF(N63&gt;=0.7,"Fácil",IF(N63&gt;=0.4,"Médio",IF(N63&gt;=0.2,"Difícil","Muito difícil"))))</f>
        <v/>
      </c>
      <c r="P63" s="10" t="inlineStr">
        <is>
          <t>OK</t>
        </is>
      </c>
    </row>
    <row r="64">
      <c r="A64" s="7" t="inlineStr">
        <is>
          <t>Simulado 02</t>
        </is>
      </c>
      <c r="B64" s="8" t="n">
        <v>23</v>
      </c>
      <c r="C64" s="8" t="inlineStr">
        <is>
          <t>D</t>
        </is>
      </c>
      <c r="D64" s="8" t="n">
        <v>17</v>
      </c>
      <c r="E64" s="9">
        <f>D64/28</f>
        <v/>
      </c>
      <c r="F64" s="8" t="n">
        <v>21</v>
      </c>
      <c r="G64" s="9">
        <f>F64/32</f>
        <v/>
      </c>
      <c r="H64" s="8" t="n">
        <v>27</v>
      </c>
      <c r="I64" s="9">
        <f>H64/31</f>
        <v/>
      </c>
      <c r="J64" s="8" t="n">
        <v>27</v>
      </c>
      <c r="K64" s="9">
        <f>J64/29</f>
        <v/>
      </c>
      <c r="L64" s="8">
        <f>D64+F64+H64+J64</f>
        <v/>
      </c>
      <c r="M64" s="8" t="n">
        <v>120</v>
      </c>
      <c r="N64" s="9">
        <f>IF(M64="","",L64/M64)</f>
        <v/>
      </c>
      <c r="O64" s="7">
        <f>IF(N64&gt;=0.85,"Muito fácil",IF(N64&gt;=0.7,"Fácil",IF(N64&gt;=0.4,"Médio",IF(N64&gt;=0.2,"Difícil","Muito difícil"))))</f>
        <v/>
      </c>
      <c r="P64" s="7" t="inlineStr">
        <is>
          <t>OK</t>
        </is>
      </c>
    </row>
    <row r="65">
      <c r="A65" s="10" t="inlineStr">
        <is>
          <t>Simulado 02</t>
        </is>
      </c>
      <c r="B65" s="11" t="n">
        <v>24</v>
      </c>
      <c r="C65" s="11" t="inlineStr">
        <is>
          <t>C</t>
        </is>
      </c>
      <c r="D65" s="11" t="n">
        <v>27</v>
      </c>
      <c r="E65" s="12">
        <f>D65/28</f>
        <v/>
      </c>
      <c r="F65" s="11" t="n">
        <v>29</v>
      </c>
      <c r="G65" s="12">
        <f>F65/32</f>
        <v/>
      </c>
      <c r="H65" s="11" t="n">
        <v>29</v>
      </c>
      <c r="I65" s="12">
        <f>H65/31</f>
        <v/>
      </c>
      <c r="J65" s="11" t="n">
        <v>27</v>
      </c>
      <c r="K65" s="12">
        <f>J65/29</f>
        <v/>
      </c>
      <c r="L65" s="11">
        <f>D65+F65+H65+J65</f>
        <v/>
      </c>
      <c r="M65" s="11" t="n">
        <v>120</v>
      </c>
      <c r="N65" s="12">
        <f>IF(M65="","",L65/M65)</f>
        <v/>
      </c>
      <c r="O65" s="10">
        <f>IF(N65&gt;=0.85,"Muito fácil",IF(N65&gt;=0.7,"Fácil",IF(N65&gt;=0.4,"Médio",IF(N65&gt;=0.2,"Difícil","Muito difícil"))))</f>
        <v/>
      </c>
      <c r="P65" s="10" t="inlineStr">
        <is>
          <t>OK</t>
        </is>
      </c>
    </row>
    <row r="66">
      <c r="A66" s="7" t="inlineStr">
        <is>
          <t>Simulado 02</t>
        </is>
      </c>
      <c r="B66" s="8" t="n">
        <v>25</v>
      </c>
      <c r="C66" s="8" t="inlineStr">
        <is>
          <t>B</t>
        </is>
      </c>
      <c r="D66" s="8" t="n">
        <v>6</v>
      </c>
      <c r="E66" s="9">
        <f>D66/28</f>
        <v/>
      </c>
      <c r="F66" s="8" t="n">
        <v>8</v>
      </c>
      <c r="G66" s="9">
        <f>F66/32</f>
        <v/>
      </c>
      <c r="H66" s="8" t="n">
        <v>12</v>
      </c>
      <c r="I66" s="9">
        <f>H66/31</f>
        <v/>
      </c>
      <c r="J66" s="8" t="n">
        <v>15</v>
      </c>
      <c r="K66" s="9">
        <f>J66/29</f>
        <v/>
      </c>
      <c r="L66" s="8">
        <f>D66+F66+H66+J66</f>
        <v/>
      </c>
      <c r="M66" s="8" t="n">
        <v>120</v>
      </c>
      <c r="N66" s="9">
        <f>IF(M66="","",L66/M66)</f>
        <v/>
      </c>
      <c r="O66" s="7">
        <f>IF(N66&gt;=0.85,"Muito fácil",IF(N66&gt;=0.7,"Fácil",IF(N66&gt;=0.4,"Médio",IF(N66&gt;=0.2,"Difícil","Muito difícil"))))</f>
        <v/>
      </c>
      <c r="P66" s="7" t="inlineStr">
        <is>
          <t>OK</t>
        </is>
      </c>
    </row>
    <row r="67">
      <c r="A67" s="10" t="inlineStr">
        <is>
          <t>Simulado 02</t>
        </is>
      </c>
      <c r="B67" s="11" t="n">
        <v>26</v>
      </c>
      <c r="C67" s="11" t="inlineStr">
        <is>
          <t>A</t>
        </is>
      </c>
      <c r="D67" s="11" t="n">
        <v>27</v>
      </c>
      <c r="E67" s="12">
        <f>D67/28</f>
        <v/>
      </c>
      <c r="F67" s="11" t="n">
        <v>32</v>
      </c>
      <c r="G67" s="12">
        <f>F67/32</f>
        <v/>
      </c>
      <c r="H67" s="11" t="n">
        <v>31</v>
      </c>
      <c r="I67" s="12">
        <f>H67/31</f>
        <v/>
      </c>
      <c r="J67" s="11" t="n">
        <v>28</v>
      </c>
      <c r="K67" s="12">
        <f>J67/29</f>
        <v/>
      </c>
      <c r="L67" s="11">
        <f>D67+F67+H67+J67</f>
        <v/>
      </c>
      <c r="M67" s="11" t="n">
        <v>120</v>
      </c>
      <c r="N67" s="12">
        <f>IF(M67="","",L67/M67)</f>
        <v/>
      </c>
      <c r="O67" s="10">
        <f>IF(N67&gt;=0.85,"Muito fácil",IF(N67&gt;=0.7,"Fácil",IF(N67&gt;=0.4,"Médio",IF(N67&gt;=0.2,"Difícil","Muito difícil"))))</f>
        <v/>
      </c>
      <c r="P67" s="10" t="inlineStr">
        <is>
          <t>OK</t>
        </is>
      </c>
    </row>
    <row r="68">
      <c r="A68" s="7" t="inlineStr">
        <is>
          <t>Simulado 02</t>
        </is>
      </c>
      <c r="B68" s="8" t="n">
        <v>27</v>
      </c>
      <c r="C68" s="8" t="inlineStr">
        <is>
          <t>D</t>
        </is>
      </c>
      <c r="D68" s="8" t="n">
        <v>19</v>
      </c>
      <c r="E68" s="9">
        <f>D68/28</f>
        <v/>
      </c>
      <c r="F68" s="8" t="n">
        <v>15</v>
      </c>
      <c r="G68" s="9">
        <f>F68/32</f>
        <v/>
      </c>
      <c r="H68" s="8" t="n">
        <v>20</v>
      </c>
      <c r="I68" s="9">
        <f>H68/31</f>
        <v/>
      </c>
      <c r="J68" s="8" t="n">
        <v>12</v>
      </c>
      <c r="K68" s="9">
        <f>J68/29</f>
        <v/>
      </c>
      <c r="L68" s="8">
        <f>D68+F68+H68+J68</f>
        <v/>
      </c>
      <c r="M68" s="8" t="n">
        <v>120</v>
      </c>
      <c r="N68" s="9">
        <f>IF(M68="","",L68/M68)</f>
        <v/>
      </c>
      <c r="O68" s="7">
        <f>IF(N68&gt;=0.85,"Muito fácil",IF(N68&gt;=0.7,"Fácil",IF(N68&gt;=0.4,"Médio",IF(N68&gt;=0.2,"Difícil","Muito difícil"))))</f>
        <v/>
      </c>
      <c r="P68" s="7" t="inlineStr">
        <is>
          <t>OK</t>
        </is>
      </c>
    </row>
    <row r="69">
      <c r="A69" s="10" t="inlineStr">
        <is>
          <t>Simulado 02</t>
        </is>
      </c>
      <c r="B69" s="11" t="n">
        <v>28</v>
      </c>
      <c r="C69" s="11" t="inlineStr">
        <is>
          <t>A</t>
        </is>
      </c>
      <c r="D69" s="11" t="n">
        <v>11</v>
      </c>
      <c r="E69" s="12">
        <f>D69/28</f>
        <v/>
      </c>
      <c r="F69" s="11" t="n">
        <v>11</v>
      </c>
      <c r="G69" s="12">
        <f>F69/32</f>
        <v/>
      </c>
      <c r="H69" s="11" t="n">
        <v>11</v>
      </c>
      <c r="I69" s="12">
        <f>H69/31</f>
        <v/>
      </c>
      <c r="J69" s="11" t="n">
        <v>15</v>
      </c>
      <c r="K69" s="12">
        <f>J69/29</f>
        <v/>
      </c>
      <c r="L69" s="11">
        <f>D69+F69+H69+J69</f>
        <v/>
      </c>
      <c r="M69" s="11" t="n">
        <v>120</v>
      </c>
      <c r="N69" s="12">
        <f>IF(M69="","",L69/M69)</f>
        <v/>
      </c>
      <c r="O69" s="10">
        <f>IF(N69&gt;=0.85,"Muito fácil",IF(N69&gt;=0.7,"Fácil",IF(N69&gt;=0.4,"Médio",IF(N69&gt;=0.2,"Difícil","Muito difícil"))))</f>
        <v/>
      </c>
      <c r="P69" s="10" t="inlineStr">
        <is>
          <t>OK</t>
        </is>
      </c>
    </row>
    <row r="70">
      <c r="A70" s="7" t="inlineStr">
        <is>
          <t>Simulado 02</t>
        </is>
      </c>
      <c r="B70" s="8" t="n">
        <v>29</v>
      </c>
      <c r="C70" s="8" t="inlineStr">
        <is>
          <t>B</t>
        </is>
      </c>
      <c r="D70" s="8" t="n">
        <v>20</v>
      </c>
      <c r="E70" s="9">
        <f>D70/28</f>
        <v/>
      </c>
      <c r="F70" s="8" t="n">
        <v>22</v>
      </c>
      <c r="G70" s="9">
        <f>F70/32</f>
        <v/>
      </c>
      <c r="H70" s="8" t="n">
        <v>15</v>
      </c>
      <c r="I70" s="9">
        <f>H70/31</f>
        <v/>
      </c>
      <c r="J70" s="8" t="n">
        <v>19</v>
      </c>
      <c r="K70" s="9">
        <f>J70/29</f>
        <v/>
      </c>
      <c r="L70" s="8">
        <f>D70+F70+H70+J70</f>
        <v/>
      </c>
      <c r="M70" s="8" t="n">
        <v>120</v>
      </c>
      <c r="N70" s="9">
        <f>IF(M70="","",L70/M70)</f>
        <v/>
      </c>
      <c r="O70" s="7">
        <f>IF(N70&gt;=0.85,"Muito fácil",IF(N70&gt;=0.7,"Fácil",IF(N70&gt;=0.4,"Médio",IF(N70&gt;=0.2,"Difícil","Muito difícil"))))</f>
        <v/>
      </c>
      <c r="P70" s="7" t="inlineStr">
        <is>
          <t>OK</t>
        </is>
      </c>
    </row>
    <row r="71">
      <c r="A71" s="10" t="inlineStr">
        <is>
          <t>Simulado 02</t>
        </is>
      </c>
      <c r="B71" s="11" t="n">
        <v>30</v>
      </c>
      <c r="C71" s="11" t="inlineStr">
        <is>
          <t>B</t>
        </is>
      </c>
      <c r="D71" s="11" t="n">
        <v>25</v>
      </c>
      <c r="E71" s="12">
        <f>D71/28</f>
        <v/>
      </c>
      <c r="F71" s="11" t="n">
        <v>28</v>
      </c>
      <c r="G71" s="12">
        <f>F71/32</f>
        <v/>
      </c>
      <c r="H71" s="11" t="n">
        <v>31</v>
      </c>
      <c r="I71" s="12">
        <f>H71/31</f>
        <v/>
      </c>
      <c r="J71" s="11" t="n">
        <v>29</v>
      </c>
      <c r="K71" s="12">
        <f>J71/29</f>
        <v/>
      </c>
      <c r="L71" s="11">
        <f>D71+F71+H71+J71</f>
        <v/>
      </c>
      <c r="M71" s="11" t="n">
        <v>120</v>
      </c>
      <c r="N71" s="12">
        <f>IF(M71="","",L71/M71)</f>
        <v/>
      </c>
      <c r="O71" s="10">
        <f>IF(N71&gt;=0.85,"Muito fácil",IF(N71&gt;=0.7,"Fácil",IF(N71&gt;=0.4,"Médio",IF(N71&gt;=0.2,"Difícil","Muito difícil"))))</f>
        <v/>
      </c>
      <c r="P71" s="10" t="inlineStr">
        <is>
          <t>OK</t>
        </is>
      </c>
    </row>
    <row r="72">
      <c r="A72" s="7" t="inlineStr">
        <is>
          <t>Simulado 02</t>
        </is>
      </c>
      <c r="B72" s="8" t="n">
        <v>31</v>
      </c>
      <c r="C72" s="8" t="inlineStr">
        <is>
          <t>A</t>
        </is>
      </c>
      <c r="D72" s="8" t="n">
        <v>16</v>
      </c>
      <c r="E72" s="9">
        <f>D72/28</f>
        <v/>
      </c>
      <c r="F72" s="8" t="n">
        <v>16</v>
      </c>
      <c r="G72" s="9">
        <f>F72/32</f>
        <v/>
      </c>
      <c r="H72" s="8" t="n">
        <v>22</v>
      </c>
      <c r="I72" s="9">
        <f>H72/31</f>
        <v/>
      </c>
      <c r="J72" s="8" t="n">
        <v>13</v>
      </c>
      <c r="K72" s="9">
        <f>J72/29</f>
        <v/>
      </c>
      <c r="L72" s="8">
        <f>D72+F72+H72+J72</f>
        <v/>
      </c>
      <c r="M72" s="8" t="n">
        <v>120</v>
      </c>
      <c r="N72" s="9">
        <f>IF(M72="","",L72/M72)</f>
        <v/>
      </c>
      <c r="O72" s="7">
        <f>IF(N72&gt;=0.85,"Muito fácil",IF(N72&gt;=0.7,"Fácil",IF(N72&gt;=0.4,"Médio",IF(N72&gt;=0.2,"Difícil","Muito difícil"))))</f>
        <v/>
      </c>
      <c r="P72" s="7" t="inlineStr">
        <is>
          <t>OK</t>
        </is>
      </c>
    </row>
    <row r="73">
      <c r="A73" s="10" t="inlineStr">
        <is>
          <t>Simulado 02</t>
        </is>
      </c>
      <c r="B73" s="11" t="n">
        <v>32</v>
      </c>
      <c r="C73" s="11" t="inlineStr">
        <is>
          <t>C</t>
        </is>
      </c>
      <c r="D73" s="11" t="n">
        <v>22</v>
      </c>
      <c r="E73" s="12">
        <f>D73/28</f>
        <v/>
      </c>
      <c r="F73" s="11" t="n">
        <v>29</v>
      </c>
      <c r="G73" s="12">
        <f>F73/32</f>
        <v/>
      </c>
      <c r="H73" s="11" t="n">
        <v>29</v>
      </c>
      <c r="I73" s="12">
        <f>H73/31</f>
        <v/>
      </c>
      <c r="J73" s="11" t="n">
        <v>26</v>
      </c>
      <c r="K73" s="12">
        <f>J73/29</f>
        <v/>
      </c>
      <c r="L73" s="11">
        <f>D73+F73+H73+J73</f>
        <v/>
      </c>
      <c r="M73" s="11" t="n">
        <v>120</v>
      </c>
      <c r="N73" s="12">
        <f>IF(M73="","",L73/M73)</f>
        <v/>
      </c>
      <c r="O73" s="10">
        <f>IF(N73&gt;=0.85,"Muito fácil",IF(N73&gt;=0.7,"Fácil",IF(N73&gt;=0.4,"Médio",IF(N73&gt;=0.2,"Difícil","Muito difícil"))))</f>
        <v/>
      </c>
      <c r="P73" s="10" t="inlineStr">
        <is>
          <t>OK</t>
        </is>
      </c>
    </row>
    <row r="74">
      <c r="A74" s="7" t="inlineStr">
        <is>
          <t>Simulado 02</t>
        </is>
      </c>
      <c r="B74" s="8" t="n">
        <v>33</v>
      </c>
      <c r="C74" s="8" t="inlineStr">
        <is>
          <t>A</t>
        </is>
      </c>
      <c r="D74" s="8" t="n">
        <v>2</v>
      </c>
      <c r="E74" s="9">
        <f>D74/28</f>
        <v/>
      </c>
      <c r="F74" s="8" t="n">
        <v>1</v>
      </c>
      <c r="G74" s="9">
        <f>F74/32</f>
        <v/>
      </c>
      <c r="H74" s="8" t="n">
        <v>4</v>
      </c>
      <c r="I74" s="9">
        <f>H74/31</f>
        <v/>
      </c>
      <c r="J74" s="8" t="n">
        <v>6</v>
      </c>
      <c r="K74" s="9">
        <f>J74/29</f>
        <v/>
      </c>
      <c r="L74" s="8">
        <f>D74+F74+H74+J74</f>
        <v/>
      </c>
      <c r="M74" s="8" t="n">
        <v>120</v>
      </c>
      <c r="N74" s="9">
        <f>IF(M74="","",L74/M74)</f>
        <v/>
      </c>
      <c r="O74" s="7">
        <f>IF(N74&gt;=0.85,"Muito fácil",IF(N74&gt;=0.7,"Fácil",IF(N74&gt;=0.4,"Médio",IF(N74&gt;=0.2,"Difícil","Muito difícil"))))</f>
        <v/>
      </c>
      <c r="P74" s="7" t="inlineStr">
        <is>
          <t>OK</t>
        </is>
      </c>
    </row>
    <row r="75">
      <c r="A75" s="10" t="inlineStr">
        <is>
          <t>Simulado 02</t>
        </is>
      </c>
      <c r="B75" s="11" t="n">
        <v>34</v>
      </c>
      <c r="C75" s="11" t="inlineStr">
        <is>
          <t>D</t>
        </is>
      </c>
      <c r="D75" s="11" t="n">
        <v>25</v>
      </c>
      <c r="E75" s="12">
        <f>D75/28</f>
        <v/>
      </c>
      <c r="F75" s="11" t="n">
        <v>29</v>
      </c>
      <c r="G75" s="12">
        <f>F75/32</f>
        <v/>
      </c>
      <c r="H75" s="11" t="n">
        <v>27</v>
      </c>
      <c r="I75" s="12">
        <f>H75/31</f>
        <v/>
      </c>
      <c r="J75" s="11" t="n">
        <v>24</v>
      </c>
      <c r="K75" s="12">
        <f>J75/29</f>
        <v/>
      </c>
      <c r="L75" s="11">
        <f>D75+F75+H75+J75</f>
        <v/>
      </c>
      <c r="M75" s="11" t="n">
        <v>120</v>
      </c>
      <c r="N75" s="12">
        <f>IF(M75="","",L75/M75)</f>
        <v/>
      </c>
      <c r="O75" s="10">
        <f>IF(N75&gt;=0.85,"Muito fácil",IF(N75&gt;=0.7,"Fácil",IF(N75&gt;=0.4,"Médio",IF(N75&gt;=0.2,"Difícil","Muito difícil"))))</f>
        <v/>
      </c>
      <c r="P75" s="10" t="inlineStr">
        <is>
          <t>OK</t>
        </is>
      </c>
    </row>
    <row r="76">
      <c r="A76" s="7" t="inlineStr">
        <is>
          <t>Simulado 02</t>
        </is>
      </c>
      <c r="B76" s="8" t="n">
        <v>35</v>
      </c>
      <c r="C76" s="8" t="inlineStr">
        <is>
          <t>A</t>
        </is>
      </c>
      <c r="D76" s="8" t="n">
        <v>9</v>
      </c>
      <c r="E76" s="9">
        <f>D76/28</f>
        <v/>
      </c>
      <c r="F76" s="8" t="n">
        <v>14</v>
      </c>
      <c r="G76" s="9">
        <f>F76/32</f>
        <v/>
      </c>
      <c r="H76" s="8" t="n">
        <v>13</v>
      </c>
      <c r="I76" s="9">
        <f>H76/31</f>
        <v/>
      </c>
      <c r="J76" s="8" t="n">
        <v>19</v>
      </c>
      <c r="K76" s="9">
        <f>J76/29</f>
        <v/>
      </c>
      <c r="L76" s="8">
        <f>D76+F76+H76+J76</f>
        <v/>
      </c>
      <c r="M76" s="8" t="n">
        <v>120</v>
      </c>
      <c r="N76" s="9">
        <f>IF(M76="","",L76/M76)</f>
        <v/>
      </c>
      <c r="O76" s="7">
        <f>IF(N76&gt;=0.85,"Muito fácil",IF(N76&gt;=0.7,"Fácil",IF(N76&gt;=0.4,"Médio",IF(N76&gt;=0.2,"Difícil","Muito difícil"))))</f>
        <v/>
      </c>
      <c r="P76" s="7" t="inlineStr">
        <is>
          <t>OK</t>
        </is>
      </c>
    </row>
    <row r="77">
      <c r="A77" s="10" t="inlineStr">
        <is>
          <t>Simulado 02</t>
        </is>
      </c>
      <c r="B77" s="11" t="n">
        <v>36</v>
      </c>
      <c r="C77" s="11" t="inlineStr">
        <is>
          <t>B</t>
        </is>
      </c>
      <c r="D77" s="11" t="n">
        <v>17</v>
      </c>
      <c r="E77" s="12">
        <f>D77/28</f>
        <v/>
      </c>
      <c r="F77" s="11" t="n">
        <v>16</v>
      </c>
      <c r="G77" s="12">
        <f>F77/32</f>
        <v/>
      </c>
      <c r="H77" s="11" t="n">
        <v>19</v>
      </c>
      <c r="I77" s="12">
        <f>H77/31</f>
        <v/>
      </c>
      <c r="J77" s="11" t="n">
        <v>17</v>
      </c>
      <c r="K77" s="12">
        <f>J77/29</f>
        <v/>
      </c>
      <c r="L77" s="11">
        <f>D77+F77+H77+J77</f>
        <v/>
      </c>
      <c r="M77" s="11" t="n">
        <v>120</v>
      </c>
      <c r="N77" s="12">
        <f>IF(M77="","",L77/M77)</f>
        <v/>
      </c>
      <c r="O77" s="10">
        <f>IF(N77&gt;=0.85,"Muito fácil",IF(N77&gt;=0.7,"Fácil",IF(N77&gt;=0.4,"Médio",IF(N77&gt;=0.2,"Difícil","Muito difícil"))))</f>
        <v/>
      </c>
      <c r="P77" s="10" t="inlineStr">
        <is>
          <t>OK</t>
        </is>
      </c>
    </row>
    <row r="78">
      <c r="A78" s="7" t="inlineStr">
        <is>
          <t>Simulado 02</t>
        </is>
      </c>
      <c r="B78" s="8" t="n">
        <v>37</v>
      </c>
      <c r="C78" s="8" t="inlineStr">
        <is>
          <t>A</t>
        </is>
      </c>
      <c r="D78" s="8" t="n">
        <v>16</v>
      </c>
      <c r="E78" s="9">
        <f>D78/28</f>
        <v/>
      </c>
      <c r="F78" s="8" t="n">
        <v>14</v>
      </c>
      <c r="G78" s="9">
        <f>F78/32</f>
        <v/>
      </c>
      <c r="H78" s="8" t="n">
        <v>20</v>
      </c>
      <c r="I78" s="9">
        <f>H78/31</f>
        <v/>
      </c>
      <c r="J78" s="8" t="n">
        <v>19</v>
      </c>
      <c r="K78" s="9">
        <f>J78/29</f>
        <v/>
      </c>
      <c r="L78" s="8">
        <f>D78+F78+H78+J78</f>
        <v/>
      </c>
      <c r="M78" s="8" t="n">
        <v>120</v>
      </c>
      <c r="N78" s="9">
        <f>IF(M78="","",L78/M78)</f>
        <v/>
      </c>
      <c r="O78" s="7">
        <f>IF(N78&gt;=0.85,"Muito fácil",IF(N78&gt;=0.7,"Fácil",IF(N78&gt;=0.4,"Médio",IF(N78&gt;=0.2,"Difícil","Muito difícil"))))</f>
        <v/>
      </c>
      <c r="P78" s="7" t="inlineStr">
        <is>
          <t>OK</t>
        </is>
      </c>
    </row>
    <row r="79">
      <c r="A79" s="10" t="inlineStr">
        <is>
          <t>Simulado 02</t>
        </is>
      </c>
      <c r="B79" s="11" t="n">
        <v>38</v>
      </c>
      <c r="C79" s="11" t="inlineStr">
        <is>
          <t>A</t>
        </is>
      </c>
      <c r="D79" s="11" t="n">
        <v>14</v>
      </c>
      <c r="E79" s="12">
        <f>D79/28</f>
        <v/>
      </c>
      <c r="F79" s="11" t="n">
        <v>19</v>
      </c>
      <c r="G79" s="12">
        <f>F79/32</f>
        <v/>
      </c>
      <c r="H79" s="11" t="n">
        <v>16</v>
      </c>
      <c r="I79" s="12">
        <f>H79/31</f>
        <v/>
      </c>
      <c r="J79" s="11" t="n">
        <v>19</v>
      </c>
      <c r="K79" s="12">
        <f>J79/29</f>
        <v/>
      </c>
      <c r="L79" s="11">
        <f>D79+F79+H79+J79</f>
        <v/>
      </c>
      <c r="M79" s="11" t="n">
        <v>120</v>
      </c>
      <c r="N79" s="12">
        <f>IF(M79="","",L79/M79)</f>
        <v/>
      </c>
      <c r="O79" s="10">
        <f>IF(N79&gt;=0.85,"Muito fácil",IF(N79&gt;=0.7,"Fácil",IF(N79&gt;=0.4,"Médio",IF(N79&gt;=0.2,"Difícil","Muito difícil"))))</f>
        <v/>
      </c>
      <c r="P79" s="10" t="inlineStr">
        <is>
          <t>OK</t>
        </is>
      </c>
    </row>
    <row r="80">
      <c r="A80" s="7" t="inlineStr">
        <is>
          <t>Simulado 02</t>
        </is>
      </c>
      <c r="B80" s="8" t="n">
        <v>39</v>
      </c>
      <c r="C80" s="8" t="inlineStr">
        <is>
          <t>B</t>
        </is>
      </c>
      <c r="D80" s="8" t="n">
        <v>14</v>
      </c>
      <c r="E80" s="9">
        <f>D80/28</f>
        <v/>
      </c>
      <c r="F80" s="8" t="n">
        <v>17</v>
      </c>
      <c r="G80" s="9">
        <f>F80/32</f>
        <v/>
      </c>
      <c r="H80" s="8" t="n">
        <v>19</v>
      </c>
      <c r="I80" s="9">
        <f>H80/31</f>
        <v/>
      </c>
      <c r="J80" s="8" t="n">
        <v>18</v>
      </c>
      <c r="K80" s="9">
        <f>J80/29</f>
        <v/>
      </c>
      <c r="L80" s="8">
        <f>D80+F80+H80+J80</f>
        <v/>
      </c>
      <c r="M80" s="8" t="n">
        <v>120</v>
      </c>
      <c r="N80" s="9">
        <f>IF(M80="","",L80/M80)</f>
        <v/>
      </c>
      <c r="O80" s="7">
        <f>IF(N80&gt;=0.85,"Muito fácil",IF(N80&gt;=0.7,"Fácil",IF(N80&gt;=0.4,"Médio",IF(N80&gt;=0.2,"Difícil","Muito difícil"))))</f>
        <v/>
      </c>
      <c r="P80" s="7" t="inlineStr">
        <is>
          <t>OK</t>
        </is>
      </c>
    </row>
    <row r="81">
      <c r="A81" s="10" t="inlineStr">
        <is>
          <t>Simulado 02</t>
        </is>
      </c>
      <c r="B81" s="11" t="n">
        <v>40</v>
      </c>
      <c r="C81" s="11" t="inlineStr">
        <is>
          <t>C</t>
        </is>
      </c>
      <c r="D81" s="11" t="n">
        <v>25</v>
      </c>
      <c r="E81" s="12">
        <f>D81/28</f>
        <v/>
      </c>
      <c r="F81" s="11" t="n">
        <v>27</v>
      </c>
      <c r="G81" s="12">
        <f>F81/32</f>
        <v/>
      </c>
      <c r="H81" s="11" t="n">
        <v>30</v>
      </c>
      <c r="I81" s="12">
        <f>H81/31</f>
        <v/>
      </c>
      <c r="J81" s="11" t="n">
        <v>25</v>
      </c>
      <c r="K81" s="12">
        <f>J81/29</f>
        <v/>
      </c>
      <c r="L81" s="11">
        <f>D81+F81+H81+J81</f>
        <v/>
      </c>
      <c r="M81" s="11" t="n">
        <v>120</v>
      </c>
      <c r="N81" s="12">
        <f>IF(M81="","",L81/M81)</f>
        <v/>
      </c>
      <c r="O81" s="10">
        <f>IF(N81&gt;=0.85,"Muito fácil",IF(N81&gt;=0.7,"Fácil",IF(N81&gt;=0.4,"Médio",IF(N81&gt;=0.2,"Difícil","Muito difícil"))))</f>
        <v/>
      </c>
      <c r="P81" s="10" t="inlineStr">
        <is>
          <t>OK</t>
        </is>
      </c>
    </row>
    <row r="82">
      <c r="A82" s="7" t="inlineStr">
        <is>
          <t>Simulado 02</t>
        </is>
      </c>
      <c r="B82" s="8" t="n">
        <v>41</v>
      </c>
      <c r="C82" s="8" t="inlineStr">
        <is>
          <t>C</t>
        </is>
      </c>
      <c r="D82" s="8" t="n">
        <v>25</v>
      </c>
      <c r="E82" s="9">
        <f>D82/28</f>
        <v/>
      </c>
      <c r="F82" s="8" t="n">
        <v>28</v>
      </c>
      <c r="G82" s="9">
        <f>F82/32</f>
        <v/>
      </c>
      <c r="H82" s="8" t="n">
        <v>28</v>
      </c>
      <c r="I82" s="9">
        <f>H82/31</f>
        <v/>
      </c>
      <c r="J82" s="8" t="n">
        <v>29</v>
      </c>
      <c r="K82" s="9">
        <f>J82/29</f>
        <v/>
      </c>
      <c r="L82" s="8">
        <f>D82+F82+H82+J82</f>
        <v/>
      </c>
      <c r="M82" s="8" t="n">
        <v>120</v>
      </c>
      <c r="N82" s="9">
        <f>IF(M82="","",L82/M82)</f>
        <v/>
      </c>
      <c r="O82" s="7">
        <f>IF(N82&gt;=0.85,"Muito fácil",IF(N82&gt;=0.7,"Fácil",IF(N82&gt;=0.4,"Médio",IF(N82&gt;=0.2,"Difícil","Muito difícil"))))</f>
        <v/>
      </c>
      <c r="P82" s="7" t="inlineStr">
        <is>
          <t>OK</t>
        </is>
      </c>
    </row>
    <row r="83">
      <c r="A83" s="10" t="inlineStr">
        <is>
          <t>Simulado 02</t>
        </is>
      </c>
      <c r="B83" s="11" t="n">
        <v>42</v>
      </c>
      <c r="C83" s="11" t="inlineStr">
        <is>
          <t>D</t>
        </is>
      </c>
      <c r="D83" s="11" t="n">
        <v>17</v>
      </c>
      <c r="E83" s="12">
        <f>D83/28</f>
        <v/>
      </c>
      <c r="F83" s="11" t="n">
        <v>23</v>
      </c>
      <c r="G83" s="12">
        <f>F83/32</f>
        <v/>
      </c>
      <c r="H83" s="11" t="n">
        <v>29</v>
      </c>
      <c r="I83" s="12">
        <f>H83/31</f>
        <v/>
      </c>
      <c r="J83" s="11" t="n">
        <v>19</v>
      </c>
      <c r="K83" s="12">
        <f>J83/29</f>
        <v/>
      </c>
      <c r="L83" s="11">
        <f>D83+F83+H83+J83</f>
        <v/>
      </c>
      <c r="M83" s="11" t="n">
        <v>120</v>
      </c>
      <c r="N83" s="12">
        <f>IF(M83="","",L83/M83)</f>
        <v/>
      </c>
      <c r="O83" s="10">
        <f>IF(N83&gt;=0.85,"Muito fácil",IF(N83&gt;=0.7,"Fácil",IF(N83&gt;=0.4,"Médio",IF(N83&gt;=0.2,"Difícil","Muito difícil"))))</f>
        <v/>
      </c>
      <c r="P83" s="10" t="inlineStr">
        <is>
          <t>OK</t>
        </is>
      </c>
    </row>
    <row r="84">
      <c r="A84" s="7" t="inlineStr">
        <is>
          <t>Simulado 02</t>
        </is>
      </c>
      <c r="B84" s="8" t="n">
        <v>43</v>
      </c>
      <c r="C84" s="8" t="inlineStr">
        <is>
          <t>C</t>
        </is>
      </c>
      <c r="D84" s="8" t="n">
        <v>28</v>
      </c>
      <c r="E84" s="9">
        <f>D84/28</f>
        <v/>
      </c>
      <c r="F84" s="8" t="n">
        <v>30</v>
      </c>
      <c r="G84" s="9">
        <f>F84/32</f>
        <v/>
      </c>
      <c r="H84" s="8" t="n">
        <v>30</v>
      </c>
      <c r="I84" s="9">
        <f>H84/31</f>
        <v/>
      </c>
      <c r="J84" s="8" t="n">
        <v>25</v>
      </c>
      <c r="K84" s="9">
        <f>J84/29</f>
        <v/>
      </c>
      <c r="L84" s="8">
        <f>D84+F84+H84+J84</f>
        <v/>
      </c>
      <c r="M84" s="8" t="n">
        <v>120</v>
      </c>
      <c r="N84" s="9">
        <f>IF(M84="","",L84/M84)</f>
        <v/>
      </c>
      <c r="O84" s="7">
        <f>IF(N84&gt;=0.85,"Muito fácil",IF(N84&gt;=0.7,"Fácil",IF(N84&gt;=0.4,"Médio",IF(N84&gt;=0.2,"Difícil","Muito difícil"))))</f>
        <v/>
      </c>
      <c r="P84" s="7" t="inlineStr">
        <is>
          <t>OK</t>
        </is>
      </c>
    </row>
    <row r="85">
      <c r="A85" s="10" t="inlineStr">
        <is>
          <t>Simulado 02</t>
        </is>
      </c>
      <c r="B85" s="11" t="n">
        <v>44</v>
      </c>
      <c r="C85" s="11" t="inlineStr">
        <is>
          <t>B</t>
        </is>
      </c>
      <c r="D85" s="11" t="n">
        <v>20</v>
      </c>
      <c r="E85" s="12">
        <f>D85/28</f>
        <v/>
      </c>
      <c r="F85" s="11" t="n">
        <v>26</v>
      </c>
      <c r="G85" s="12">
        <f>F85/32</f>
        <v/>
      </c>
      <c r="H85" s="11" t="n">
        <v>27</v>
      </c>
      <c r="I85" s="12">
        <f>H85/31</f>
        <v/>
      </c>
      <c r="J85" s="11" t="n">
        <v>26</v>
      </c>
      <c r="K85" s="12">
        <f>J85/29</f>
        <v/>
      </c>
      <c r="L85" s="11">
        <f>D85+F85+H85+J85</f>
        <v/>
      </c>
      <c r="M85" s="11" t="n">
        <v>120</v>
      </c>
      <c r="N85" s="12">
        <f>IF(M85="","",L85/M85)</f>
        <v/>
      </c>
      <c r="O85" s="10">
        <f>IF(N85&gt;=0.85,"Muito fácil",IF(N85&gt;=0.7,"Fácil",IF(N85&gt;=0.4,"Médio",IF(N85&gt;=0.2,"Difícil","Muito difícil"))))</f>
        <v/>
      </c>
      <c r="P85" s="10" t="inlineStr">
        <is>
          <t>OK</t>
        </is>
      </c>
    </row>
    <row r="86">
      <c r="A86" s="7" t="inlineStr">
        <is>
          <t>Simulado 02</t>
        </is>
      </c>
      <c r="B86" s="8" t="n">
        <v>45</v>
      </c>
      <c r="C86" s="8" t="inlineStr">
        <is>
          <t>A</t>
        </is>
      </c>
      <c r="D86" s="8" t="n">
        <v>20</v>
      </c>
      <c r="E86" s="9">
        <f>D86/28</f>
        <v/>
      </c>
      <c r="F86" s="8" t="n">
        <v>17</v>
      </c>
      <c r="G86" s="9">
        <f>F86/32</f>
        <v/>
      </c>
      <c r="H86" s="8" t="n">
        <v>22</v>
      </c>
      <c r="I86" s="9">
        <f>H86/31</f>
        <v/>
      </c>
      <c r="J86" s="8" t="n">
        <v>18</v>
      </c>
      <c r="K86" s="9">
        <f>J86/29</f>
        <v/>
      </c>
      <c r="L86" s="8">
        <f>D86+F86+H86+J86</f>
        <v/>
      </c>
      <c r="M86" s="8" t="n">
        <v>120</v>
      </c>
      <c r="N86" s="9">
        <f>IF(M86="","",L86/M86)</f>
        <v/>
      </c>
      <c r="O86" s="7">
        <f>IF(N86&gt;=0.85,"Muito fácil",IF(N86&gt;=0.7,"Fácil",IF(N86&gt;=0.4,"Médio",IF(N86&gt;=0.2,"Difícil","Muito difícil"))))</f>
        <v/>
      </c>
      <c r="P86" s="7" t="inlineStr">
        <is>
          <t>OK</t>
        </is>
      </c>
    </row>
    <row r="87">
      <c r="A87" s="10" t="inlineStr">
        <is>
          <t>Simulado 02</t>
        </is>
      </c>
      <c r="B87" s="11" t="n">
        <v>46</v>
      </c>
      <c r="C87" s="11" t="inlineStr">
        <is>
          <t>B</t>
        </is>
      </c>
      <c r="D87" s="11" t="n">
        <v>1</v>
      </c>
      <c r="E87" s="12">
        <f>D87/28</f>
        <v/>
      </c>
      <c r="F87" s="11" t="n">
        <v>6</v>
      </c>
      <c r="G87" s="12">
        <f>F87/32</f>
        <v/>
      </c>
      <c r="H87" s="11" t="n">
        <v>9</v>
      </c>
      <c r="I87" s="12">
        <f>H87/31</f>
        <v/>
      </c>
      <c r="J87" s="11" t="n">
        <v>12</v>
      </c>
      <c r="K87" s="12">
        <f>J87/29</f>
        <v/>
      </c>
      <c r="L87" s="11">
        <f>D87+F87+H87+J87</f>
        <v/>
      </c>
      <c r="M87" s="11" t="n">
        <v>120</v>
      </c>
      <c r="N87" s="12">
        <f>IF(M87="","",L87/M87)</f>
        <v/>
      </c>
      <c r="O87" s="10">
        <f>IF(N87&gt;=0.85,"Muito fácil",IF(N87&gt;=0.7,"Fácil",IF(N87&gt;=0.4,"Médio",IF(N87&gt;=0.2,"Difícil","Muito difícil"))))</f>
        <v/>
      </c>
      <c r="P87" s="10" t="inlineStr">
        <is>
          <t>OK</t>
        </is>
      </c>
    </row>
    <row r="88">
      <c r="A88" s="7" t="inlineStr">
        <is>
          <t>Simulado 02</t>
        </is>
      </c>
      <c r="B88" s="8" t="n">
        <v>47</v>
      </c>
      <c r="C88" s="8" t="inlineStr">
        <is>
          <t>B</t>
        </is>
      </c>
      <c r="D88" s="8" t="n">
        <v>20</v>
      </c>
      <c r="E88" s="9">
        <f>D88/28</f>
        <v/>
      </c>
      <c r="F88" s="8" t="n">
        <v>23</v>
      </c>
      <c r="G88" s="9">
        <f>F88/32</f>
        <v/>
      </c>
      <c r="H88" s="8" t="n">
        <v>29</v>
      </c>
      <c r="I88" s="9">
        <f>H88/31</f>
        <v/>
      </c>
      <c r="J88" s="8" t="n">
        <v>25</v>
      </c>
      <c r="K88" s="9">
        <f>J88/29</f>
        <v/>
      </c>
      <c r="L88" s="8">
        <f>D88+F88+H88+J88</f>
        <v/>
      </c>
      <c r="M88" s="8" t="n">
        <v>120</v>
      </c>
      <c r="N88" s="9">
        <f>IF(M88="","",L88/M88)</f>
        <v/>
      </c>
      <c r="O88" s="7">
        <f>IF(N88&gt;=0.85,"Muito fácil",IF(N88&gt;=0.7,"Fácil",IF(N88&gt;=0.4,"Médio",IF(N88&gt;=0.2,"Difícil","Muito difícil"))))</f>
        <v/>
      </c>
      <c r="P88" s="7" t="inlineStr">
        <is>
          <t>OK</t>
        </is>
      </c>
    </row>
    <row r="89">
      <c r="A89" s="10" t="inlineStr">
        <is>
          <t>Simulado 02</t>
        </is>
      </c>
      <c r="B89" s="11" t="n">
        <v>48</v>
      </c>
      <c r="C89" s="11" t="inlineStr">
        <is>
          <t>C</t>
        </is>
      </c>
      <c r="D89" s="11" t="n">
        <v>3</v>
      </c>
      <c r="E89" s="12">
        <f>D89/28</f>
        <v/>
      </c>
      <c r="F89" s="11" t="n">
        <v>4</v>
      </c>
      <c r="G89" s="12">
        <f>F89/32</f>
        <v/>
      </c>
      <c r="H89" s="11" t="n">
        <v>6</v>
      </c>
      <c r="I89" s="12">
        <f>H89/31</f>
        <v/>
      </c>
      <c r="J89" s="11" t="n">
        <v>6</v>
      </c>
      <c r="K89" s="12">
        <f>J89/29</f>
        <v/>
      </c>
      <c r="L89" s="11">
        <f>D89+F89+H89+J89</f>
        <v/>
      </c>
      <c r="M89" s="11" t="n">
        <v>120</v>
      </c>
      <c r="N89" s="12">
        <f>IF(M89="","",L89/M89)</f>
        <v/>
      </c>
      <c r="O89" s="10">
        <f>IF(N89&gt;=0.85,"Muito fácil",IF(N89&gt;=0.7,"Fácil",IF(N89&gt;=0.4,"Médio",IF(N89&gt;=0.2,"Difícil","Muito difícil"))))</f>
        <v/>
      </c>
      <c r="P89" s="10" t="inlineStr">
        <is>
          <t>OK</t>
        </is>
      </c>
    </row>
    <row r="90">
      <c r="A90" s="7" t="inlineStr">
        <is>
          <t>Simulado 02</t>
        </is>
      </c>
      <c r="B90" s="8" t="n">
        <v>49</v>
      </c>
      <c r="C90" s="8" t="inlineStr">
        <is>
          <t>A</t>
        </is>
      </c>
      <c r="D90" s="8" t="n">
        <v>5</v>
      </c>
      <c r="E90" s="9">
        <f>D90/28</f>
        <v/>
      </c>
      <c r="F90" s="8" t="n">
        <v>2</v>
      </c>
      <c r="G90" s="9">
        <f>F90/32</f>
        <v/>
      </c>
      <c r="H90" s="8" t="n">
        <v>3</v>
      </c>
      <c r="I90" s="9">
        <f>H90/31</f>
        <v/>
      </c>
      <c r="J90" s="8" t="n">
        <v>3</v>
      </c>
      <c r="K90" s="9">
        <f>J90/29</f>
        <v/>
      </c>
      <c r="L90" s="8">
        <f>D90+F90+H90+J90</f>
        <v/>
      </c>
      <c r="M90" s="8" t="n">
        <v>120</v>
      </c>
      <c r="N90" s="9">
        <f>IF(M90="","",L90/M90)</f>
        <v/>
      </c>
      <c r="O90" s="7">
        <f>IF(N90&gt;=0.85,"Muito fácil",IF(N90&gt;=0.7,"Fácil",IF(N90&gt;=0.4,"Médio",IF(N90&gt;=0.2,"Difícil","Muito difícil"))))</f>
        <v/>
      </c>
      <c r="P90" s="7" t="inlineStr">
        <is>
          <t>OK</t>
        </is>
      </c>
    </row>
    <row r="91">
      <c r="A91" s="10" t="inlineStr">
        <is>
          <t>Simulado 02</t>
        </is>
      </c>
      <c r="B91" s="11" t="n">
        <v>50</v>
      </c>
      <c r="C91" s="11" t="inlineStr">
        <is>
          <t>D</t>
        </is>
      </c>
      <c r="D91" s="11" t="n">
        <v>11</v>
      </c>
      <c r="E91" s="12">
        <f>D91/28</f>
        <v/>
      </c>
      <c r="F91" s="11" t="n">
        <v>20</v>
      </c>
      <c r="G91" s="12">
        <f>F91/32</f>
        <v/>
      </c>
      <c r="H91" s="11" t="n">
        <v>22</v>
      </c>
      <c r="I91" s="12">
        <f>H91/31</f>
        <v/>
      </c>
      <c r="J91" s="11" t="n">
        <v>25</v>
      </c>
      <c r="K91" s="12">
        <f>J91/29</f>
        <v/>
      </c>
      <c r="L91" s="11">
        <f>D91+F91+H91+J91</f>
        <v/>
      </c>
      <c r="M91" s="11" t="n">
        <v>120</v>
      </c>
      <c r="N91" s="12">
        <f>IF(M91="","",L91/M91)</f>
        <v/>
      </c>
      <c r="O91" s="10">
        <f>IF(N91&gt;=0.85,"Muito fácil",IF(N91&gt;=0.7,"Fácil",IF(N91&gt;=0.4,"Médio",IF(N91&gt;=0.2,"Difícil","Muito difícil"))))</f>
        <v/>
      </c>
      <c r="P91" s="10" t="inlineStr">
        <is>
          <t>OK</t>
        </is>
      </c>
    </row>
    <row r="92">
      <c r="A92" s="7" t="inlineStr">
        <is>
          <t>Simulado 02</t>
        </is>
      </c>
      <c r="B92" s="8" t="n">
        <v>51</v>
      </c>
      <c r="C92" s="8" t="inlineStr">
        <is>
          <t>C</t>
        </is>
      </c>
      <c r="D92" s="8" t="n">
        <v>10</v>
      </c>
      <c r="E92" s="9">
        <f>D92/28</f>
        <v/>
      </c>
      <c r="F92" s="8" t="n">
        <v>11</v>
      </c>
      <c r="G92" s="9">
        <f>F92/32</f>
        <v/>
      </c>
      <c r="H92" s="8" t="n">
        <v>12</v>
      </c>
      <c r="I92" s="9">
        <f>H92/31</f>
        <v/>
      </c>
      <c r="J92" s="8" t="n">
        <v>8</v>
      </c>
      <c r="K92" s="9">
        <f>J92/29</f>
        <v/>
      </c>
      <c r="L92" s="8">
        <f>D92+F92+H92+J92</f>
        <v/>
      </c>
      <c r="M92" s="8" t="n">
        <v>120</v>
      </c>
      <c r="N92" s="9">
        <f>IF(M92="","",L92/M92)</f>
        <v/>
      </c>
      <c r="O92" s="7">
        <f>IF(N92&gt;=0.85,"Muito fácil",IF(N92&gt;=0.7,"Fácil",IF(N92&gt;=0.4,"Médio",IF(N92&gt;=0.2,"Difícil","Muito difícil"))))</f>
        <v/>
      </c>
      <c r="P92" s="7" t="inlineStr">
        <is>
          <t>OK</t>
        </is>
      </c>
    </row>
    <row r="93">
      <c r="A93" s="10" t="inlineStr">
        <is>
          <t>Simulado 02</t>
        </is>
      </c>
      <c r="B93" s="11" t="n">
        <v>52</v>
      </c>
      <c r="C93" s="11" t="inlineStr">
        <is>
          <t>C</t>
        </is>
      </c>
      <c r="D93" s="11" t="n">
        <v>27</v>
      </c>
      <c r="E93" s="12">
        <f>D93/28</f>
        <v/>
      </c>
      <c r="F93" s="11" t="n">
        <v>29</v>
      </c>
      <c r="G93" s="12">
        <f>F93/32</f>
        <v/>
      </c>
      <c r="H93" s="11" t="n">
        <v>30</v>
      </c>
      <c r="I93" s="12">
        <f>H93/31</f>
        <v/>
      </c>
      <c r="J93" s="11" t="n">
        <v>28</v>
      </c>
      <c r="K93" s="12">
        <f>J93/29</f>
        <v/>
      </c>
      <c r="L93" s="11">
        <f>D93+F93+H93+J93</f>
        <v/>
      </c>
      <c r="M93" s="11" t="n">
        <v>120</v>
      </c>
      <c r="N93" s="12">
        <f>IF(M93="","",L93/M93)</f>
        <v/>
      </c>
      <c r="O93" s="10">
        <f>IF(N93&gt;=0.85,"Muito fácil",IF(N93&gt;=0.7,"Fácil",IF(N93&gt;=0.4,"Médio",IF(N93&gt;=0.2,"Difícil","Muito difícil"))))</f>
        <v/>
      </c>
      <c r="P93" s="10" t="inlineStr">
        <is>
          <t>OK</t>
        </is>
      </c>
    </row>
    <row r="94">
      <c r="A94" s="7" t="inlineStr">
        <is>
          <t>Simulado 02</t>
        </is>
      </c>
      <c r="B94" s="8" t="n">
        <v>53</v>
      </c>
      <c r="C94" s="8" t="inlineStr">
        <is>
          <t>E</t>
        </is>
      </c>
      <c r="D94" s="8" t="n">
        <v>7</v>
      </c>
      <c r="E94" s="9">
        <f>D94/28</f>
        <v/>
      </c>
      <c r="F94" s="8" t="n">
        <v>16</v>
      </c>
      <c r="G94" s="9">
        <f>F94/32</f>
        <v/>
      </c>
      <c r="H94" s="8" t="n">
        <v>17</v>
      </c>
      <c r="I94" s="9">
        <f>H94/31</f>
        <v/>
      </c>
      <c r="J94" s="8" t="n">
        <v>7</v>
      </c>
      <c r="K94" s="9">
        <f>J94/29</f>
        <v/>
      </c>
      <c r="L94" s="8">
        <f>D94+F94+H94+J94</f>
        <v/>
      </c>
      <c r="M94" s="8" t="n">
        <v>120</v>
      </c>
      <c r="N94" s="9">
        <f>IF(M94="","",L94/M94)</f>
        <v/>
      </c>
      <c r="O94" s="7">
        <f>IF(N94&gt;=0.85,"Muito fácil",IF(N94&gt;=0.7,"Fácil",IF(N94&gt;=0.4,"Médio",IF(N94&gt;=0.2,"Difícil","Muito difícil"))))</f>
        <v/>
      </c>
      <c r="P94" s="7" t="inlineStr">
        <is>
          <t>OK</t>
        </is>
      </c>
    </row>
    <row r="95">
      <c r="A95" s="10" t="inlineStr">
        <is>
          <t>Simulado 02</t>
        </is>
      </c>
      <c r="B95" s="11" t="n">
        <v>54</v>
      </c>
      <c r="C95" s="11" t="inlineStr">
        <is>
          <t>E</t>
        </is>
      </c>
      <c r="D95" s="11" t="n">
        <v>16</v>
      </c>
      <c r="E95" s="12">
        <f>D95/28</f>
        <v/>
      </c>
      <c r="F95" s="11" t="n">
        <v>22</v>
      </c>
      <c r="G95" s="12">
        <f>F95/32</f>
        <v/>
      </c>
      <c r="H95" s="11" t="n">
        <v>27</v>
      </c>
      <c r="I95" s="12">
        <f>H95/31</f>
        <v/>
      </c>
      <c r="J95" s="11" t="n">
        <v>21</v>
      </c>
      <c r="K95" s="12">
        <f>J95/29</f>
        <v/>
      </c>
      <c r="L95" s="11">
        <f>D95+F95+H95+J95</f>
        <v/>
      </c>
      <c r="M95" s="11" t="n">
        <v>120</v>
      </c>
      <c r="N95" s="12">
        <f>IF(M95="","",L95/M95)</f>
        <v/>
      </c>
      <c r="O95" s="10">
        <f>IF(N95&gt;=0.85,"Muito fácil",IF(N95&gt;=0.7,"Fácil",IF(N95&gt;=0.4,"Médio",IF(N95&gt;=0.2,"Difícil","Muito difícil"))))</f>
        <v/>
      </c>
      <c r="P95" s="10" t="inlineStr">
        <is>
          <t>OK</t>
        </is>
      </c>
    </row>
    <row r="96">
      <c r="A96" s="7" t="inlineStr">
        <is>
          <t>Simulado 02</t>
        </is>
      </c>
      <c r="B96" s="8" t="n">
        <v>55</v>
      </c>
      <c r="C96" s="8" t="inlineStr">
        <is>
          <t>B</t>
        </is>
      </c>
      <c r="D96" s="8" t="n">
        <v>23</v>
      </c>
      <c r="E96" s="9">
        <f>D96/28</f>
        <v/>
      </c>
      <c r="F96" s="8" t="n">
        <v>29</v>
      </c>
      <c r="G96" s="9">
        <f>F96/32</f>
        <v/>
      </c>
      <c r="H96" s="8" t="n">
        <v>29</v>
      </c>
      <c r="I96" s="9">
        <f>H96/31</f>
        <v/>
      </c>
      <c r="J96" s="8" t="n">
        <v>25</v>
      </c>
      <c r="K96" s="9">
        <f>J96/29</f>
        <v/>
      </c>
      <c r="L96" s="8">
        <f>D96+F96+H96+J96</f>
        <v/>
      </c>
      <c r="M96" s="8" t="n">
        <v>120</v>
      </c>
      <c r="N96" s="9">
        <f>IF(M96="","",L96/M96)</f>
        <v/>
      </c>
      <c r="O96" s="7">
        <f>IF(N96&gt;=0.85,"Muito fácil",IF(N96&gt;=0.7,"Fácil",IF(N96&gt;=0.4,"Médio",IF(N96&gt;=0.2,"Difícil","Muito difícil"))))</f>
        <v/>
      </c>
      <c r="P96" s="7" t="inlineStr">
        <is>
          <t>OK</t>
        </is>
      </c>
    </row>
    <row r="97">
      <c r="A97" s="10" t="inlineStr">
        <is>
          <t>Simulado 02</t>
        </is>
      </c>
      <c r="B97" s="11" t="n">
        <v>56</v>
      </c>
      <c r="C97" s="11" t="inlineStr">
        <is>
          <t>D</t>
        </is>
      </c>
      <c r="D97" s="11" t="n">
        <v>15</v>
      </c>
      <c r="E97" s="12">
        <f>D97/28</f>
        <v/>
      </c>
      <c r="F97" s="11" t="n">
        <v>22</v>
      </c>
      <c r="G97" s="12">
        <f>F97/32</f>
        <v/>
      </c>
      <c r="H97" s="11" t="n">
        <v>24</v>
      </c>
      <c r="I97" s="12">
        <f>H97/31</f>
        <v/>
      </c>
      <c r="J97" s="11" t="n">
        <v>25</v>
      </c>
      <c r="K97" s="12">
        <f>J97/29</f>
        <v/>
      </c>
      <c r="L97" s="11">
        <f>D97+F97+H97+J97</f>
        <v/>
      </c>
      <c r="M97" s="11" t="n">
        <v>120</v>
      </c>
      <c r="N97" s="12">
        <f>IF(M97="","",L97/M97)</f>
        <v/>
      </c>
      <c r="O97" s="10">
        <f>IF(N97&gt;=0.85,"Muito fácil",IF(N97&gt;=0.7,"Fácil",IF(N97&gt;=0.4,"Médio",IF(N97&gt;=0.2,"Difícil","Muito difícil"))))</f>
        <v/>
      </c>
      <c r="P97" s="10" t="inlineStr">
        <is>
          <t>OK</t>
        </is>
      </c>
    </row>
    <row r="98">
      <c r="A98" s="7" t="inlineStr">
        <is>
          <t>Simulado 02</t>
        </is>
      </c>
      <c r="B98" s="8" t="n">
        <v>57</v>
      </c>
      <c r="C98" s="8" t="inlineStr">
        <is>
          <t>E</t>
        </is>
      </c>
      <c r="D98" s="8" t="n">
        <v>5</v>
      </c>
      <c r="E98" s="9">
        <f>D98/28</f>
        <v/>
      </c>
      <c r="F98" s="8" t="n">
        <v>2</v>
      </c>
      <c r="G98" s="9">
        <f>F98/32</f>
        <v/>
      </c>
      <c r="H98" s="8" t="n">
        <v>8</v>
      </c>
      <c r="I98" s="9">
        <f>H98/31</f>
        <v/>
      </c>
      <c r="J98" s="8" t="n">
        <v>6</v>
      </c>
      <c r="K98" s="9">
        <f>J98/29</f>
        <v/>
      </c>
      <c r="L98" s="8">
        <f>D98+F98+H98+J98</f>
        <v/>
      </c>
      <c r="M98" s="8" t="n">
        <v>120</v>
      </c>
      <c r="N98" s="9">
        <f>IF(M98="","",L98/M98)</f>
        <v/>
      </c>
      <c r="O98" s="7">
        <f>IF(N98&gt;=0.85,"Muito fácil",IF(N98&gt;=0.7,"Fácil",IF(N98&gt;=0.4,"Médio",IF(N98&gt;=0.2,"Difícil","Muito difícil"))))</f>
        <v/>
      </c>
      <c r="P98" s="7" t="inlineStr">
        <is>
          <t>OK</t>
        </is>
      </c>
    </row>
    <row r="99">
      <c r="A99" s="10" t="inlineStr">
        <is>
          <t>Simulado 02</t>
        </is>
      </c>
      <c r="B99" s="11" t="n">
        <v>58</v>
      </c>
      <c r="C99" s="11" t="inlineStr">
        <is>
          <t>D</t>
        </is>
      </c>
      <c r="D99" s="11" t="n">
        <v>20</v>
      </c>
      <c r="E99" s="12">
        <f>D99/28</f>
        <v/>
      </c>
      <c r="F99" s="11" t="n">
        <v>18</v>
      </c>
      <c r="G99" s="12">
        <f>F99/32</f>
        <v/>
      </c>
      <c r="H99" s="11" t="n">
        <v>18</v>
      </c>
      <c r="I99" s="12">
        <f>H99/31</f>
        <v/>
      </c>
      <c r="J99" s="11" t="n">
        <v>21</v>
      </c>
      <c r="K99" s="12">
        <f>J99/29</f>
        <v/>
      </c>
      <c r="L99" s="11">
        <f>D99+F99+H99+J99</f>
        <v/>
      </c>
      <c r="M99" s="11" t="n">
        <v>120</v>
      </c>
      <c r="N99" s="12">
        <f>IF(M99="","",L99/M99)</f>
        <v/>
      </c>
      <c r="O99" s="10">
        <f>IF(N99&gt;=0.85,"Muito fácil",IF(N99&gt;=0.7,"Fácil",IF(N99&gt;=0.4,"Médio",IF(N99&gt;=0.2,"Difícil","Muito difícil"))))</f>
        <v/>
      </c>
      <c r="P99" s="10" t="inlineStr">
        <is>
          <t>OK</t>
        </is>
      </c>
    </row>
    <row r="100">
      <c r="A100" s="7" t="inlineStr">
        <is>
          <t>Simulado 02</t>
        </is>
      </c>
      <c r="B100" s="8" t="n">
        <v>59</v>
      </c>
      <c r="C100" s="8" t="inlineStr">
        <is>
          <t>B</t>
        </is>
      </c>
      <c r="D100" s="8" t="n">
        <v>4</v>
      </c>
      <c r="E100" s="9">
        <f>D100/28</f>
        <v/>
      </c>
      <c r="F100" s="8" t="n">
        <v>5</v>
      </c>
      <c r="G100" s="9">
        <f>F100/32</f>
        <v/>
      </c>
      <c r="H100" s="8" t="n">
        <v>1</v>
      </c>
      <c r="I100" s="9">
        <f>H100/31</f>
        <v/>
      </c>
      <c r="J100" s="8" t="n">
        <v>1</v>
      </c>
      <c r="K100" s="9">
        <f>J100/29</f>
        <v/>
      </c>
      <c r="L100" s="8">
        <f>D100+F100+H100+J100</f>
        <v/>
      </c>
      <c r="M100" s="8" t="n">
        <v>120</v>
      </c>
      <c r="N100" s="9">
        <f>IF(M100="","",L100/M100)</f>
        <v/>
      </c>
      <c r="O100" s="7">
        <f>IF(N100&gt;=0.85,"Muito fácil",IF(N100&gt;=0.7,"Fácil",IF(N100&gt;=0.4,"Médio",IF(N100&gt;=0.2,"Difícil","Muito difícil"))))</f>
        <v/>
      </c>
      <c r="P100" s="7" t="inlineStr">
        <is>
          <t>OK</t>
        </is>
      </c>
    </row>
    <row r="101">
      <c r="A101" s="10" t="inlineStr">
        <is>
          <t>Simulado 02</t>
        </is>
      </c>
      <c r="B101" s="11" t="n">
        <v>60</v>
      </c>
      <c r="C101" s="11" t="inlineStr">
        <is>
          <t>C</t>
        </is>
      </c>
      <c r="D101" s="11" t="n">
        <v>13</v>
      </c>
      <c r="E101" s="12">
        <f>D101/28</f>
        <v/>
      </c>
      <c r="F101" s="11" t="n">
        <v>22</v>
      </c>
      <c r="G101" s="12">
        <f>F101/32</f>
        <v/>
      </c>
      <c r="H101" s="11" t="n">
        <v>21</v>
      </c>
      <c r="I101" s="12">
        <f>H101/31</f>
        <v/>
      </c>
      <c r="J101" s="11" t="n">
        <v>19</v>
      </c>
      <c r="K101" s="12">
        <f>J101/29</f>
        <v/>
      </c>
      <c r="L101" s="11">
        <f>D101+F101+H101+J101</f>
        <v/>
      </c>
      <c r="M101" s="11" t="n">
        <v>120</v>
      </c>
      <c r="N101" s="12">
        <f>IF(M101="","",L101/M101)</f>
        <v/>
      </c>
      <c r="O101" s="10">
        <f>IF(N101&gt;=0.85,"Muito fácil",IF(N101&gt;=0.7,"Fácil",IF(N101&gt;=0.4,"Médio",IF(N101&gt;=0.2,"Difícil","Muito difícil"))))</f>
        <v/>
      </c>
      <c r="P101" s="10" t="inlineStr">
        <is>
          <t>OK</t>
        </is>
      </c>
    </row>
  </sheetData>
  <autoFilter ref="A1:P1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10" customWidth="1" min="3" max="3"/>
    <col width="13" customWidth="1" min="4" max="4"/>
    <col width="13" customWidth="1" min="5" max="5"/>
    <col width="10" customWidth="1" min="6" max="6"/>
    <col width="12" customWidth="1" min="7" max="7"/>
    <col width="62" customWidth="1" min="8" max="8"/>
  </cols>
  <sheetData>
    <row r="1" ht="30" customHeight="1">
      <c r="A1" s="6" t="inlineStr">
        <is>
          <t>Simulado</t>
        </is>
      </c>
      <c r="B1" s="6" t="inlineStr">
        <is>
          <t>Questão</t>
        </is>
      </c>
      <c r="C1" s="6" t="inlineStr">
        <is>
          <t>Fase</t>
        </is>
      </c>
      <c r="D1" s="6" t="inlineStr">
        <is>
          <t>Gabarito
(chave do dashboard)</t>
        </is>
      </c>
      <c r="E1" s="6" t="inlineStr">
        <is>
          <t>Alunos na fase</t>
        </is>
      </c>
      <c r="F1" s="6" t="inlineStr">
        <is>
          <t>Acertos</t>
        </is>
      </c>
      <c r="G1" s="6" t="inlineStr">
        <is>
          <t>% de acerto</t>
        </is>
      </c>
      <c r="H1" s="6" t="inlineStr">
        <is>
          <t>Situação</t>
        </is>
      </c>
    </row>
    <row r="2">
      <c r="A2" s="7" t="inlineStr">
        <is>
          <t>Simulado 01</t>
        </is>
      </c>
      <c r="B2" s="8" t="n">
        <v>1</v>
      </c>
      <c r="C2" s="8" t="inlineStr">
        <is>
          <t>6ª Fase</t>
        </is>
      </c>
      <c r="D2" s="8" t="inlineStr">
        <is>
          <t>E</t>
        </is>
      </c>
      <c r="E2" s="8" t="n">
        <v>27</v>
      </c>
      <c r="F2" s="8" t="n">
        <v>24</v>
      </c>
      <c r="G2" s="9">
        <f>IF(E2=0,"",F2/E2)</f>
        <v/>
      </c>
      <c r="H2" s="7" t="inlineStr">
        <is>
          <t>OK</t>
        </is>
      </c>
    </row>
    <row r="3">
      <c r="A3" s="10" t="inlineStr">
        <is>
          <t>Simulado 01</t>
        </is>
      </c>
      <c r="B3" s="11" t="n">
        <v>1</v>
      </c>
      <c r="C3" s="11" t="inlineStr">
        <is>
          <t>7ª Fase</t>
        </is>
      </c>
      <c r="D3" s="11" t="inlineStr">
        <is>
          <t>E</t>
        </is>
      </c>
      <c r="E3" s="11" t="n">
        <v>33</v>
      </c>
      <c r="F3" s="11" t="n">
        <v>32</v>
      </c>
      <c r="G3" s="12">
        <f>IF(E3=0,"",F3/E3)</f>
        <v/>
      </c>
      <c r="H3" s="10" t="inlineStr">
        <is>
          <t>OK</t>
        </is>
      </c>
    </row>
    <row r="4">
      <c r="A4" s="7" t="inlineStr">
        <is>
          <t>Simulado 01</t>
        </is>
      </c>
      <c r="B4" s="8" t="n">
        <v>1</v>
      </c>
      <c r="C4" s="8" t="inlineStr">
        <is>
          <t>10ª Fase</t>
        </is>
      </c>
      <c r="D4" s="8" t="inlineStr">
        <is>
          <t>E</t>
        </is>
      </c>
      <c r="E4" s="8" t="n">
        <v>31</v>
      </c>
      <c r="F4" s="8" t="n">
        <v>31</v>
      </c>
      <c r="G4" s="9">
        <f>IF(E4=0,"",F4/E4)</f>
        <v/>
      </c>
      <c r="H4" s="7" t="inlineStr">
        <is>
          <t>OK</t>
        </is>
      </c>
    </row>
    <row r="5">
      <c r="A5" s="10" t="inlineStr">
        <is>
          <t>Simulado 01</t>
        </is>
      </c>
      <c r="B5" s="11" t="n">
        <v>1</v>
      </c>
      <c r="C5" s="11" t="inlineStr">
        <is>
          <t>11ª Fase</t>
        </is>
      </c>
      <c r="D5" s="11" t="inlineStr">
        <is>
          <t>E</t>
        </is>
      </c>
      <c r="E5" s="11" t="n">
        <v>27</v>
      </c>
      <c r="F5" s="11" t="n">
        <v>27</v>
      </c>
      <c r="G5" s="12">
        <f>IF(E5=0,"",F5/E5)</f>
        <v/>
      </c>
      <c r="H5" s="10" t="inlineStr">
        <is>
          <t>OK</t>
        </is>
      </c>
    </row>
    <row r="6">
      <c r="A6" s="7" t="inlineStr">
        <is>
          <t>Simulado 01</t>
        </is>
      </c>
      <c r="B6" s="8" t="n">
        <v>2</v>
      </c>
      <c r="C6" s="8" t="inlineStr">
        <is>
          <t>6ª Fase</t>
        </is>
      </c>
      <c r="D6" s="8" t="inlineStr">
        <is>
          <t>E</t>
        </is>
      </c>
      <c r="E6" s="8" t="n">
        <v>27</v>
      </c>
      <c r="F6" s="8" t="n">
        <v>23</v>
      </c>
      <c r="G6" s="9">
        <f>IF(E6=0,"",F6/E6)</f>
        <v/>
      </c>
      <c r="H6" s="7" t="inlineStr">
        <is>
          <t>OK</t>
        </is>
      </c>
    </row>
    <row r="7">
      <c r="A7" s="10" t="inlineStr">
        <is>
          <t>Simulado 01</t>
        </is>
      </c>
      <c r="B7" s="11" t="n">
        <v>2</v>
      </c>
      <c r="C7" s="11" t="inlineStr">
        <is>
          <t>7ª Fase</t>
        </is>
      </c>
      <c r="D7" s="11" t="inlineStr">
        <is>
          <t>E</t>
        </is>
      </c>
      <c r="E7" s="11" t="n">
        <v>33</v>
      </c>
      <c r="F7" s="11" t="n">
        <v>33</v>
      </c>
      <c r="G7" s="12">
        <f>IF(E7=0,"",F7/E7)</f>
        <v/>
      </c>
      <c r="H7" s="10" t="inlineStr">
        <is>
          <t>OK</t>
        </is>
      </c>
    </row>
    <row r="8">
      <c r="A8" s="7" t="inlineStr">
        <is>
          <t>Simulado 01</t>
        </is>
      </c>
      <c r="B8" s="8" t="n">
        <v>2</v>
      </c>
      <c r="C8" s="8" t="inlineStr">
        <is>
          <t>10ª Fase</t>
        </is>
      </c>
      <c r="D8" s="8" t="inlineStr">
        <is>
          <t>E</t>
        </is>
      </c>
      <c r="E8" s="8" t="n">
        <v>31</v>
      </c>
      <c r="F8" s="8" t="n">
        <v>26</v>
      </c>
      <c r="G8" s="9">
        <f>IF(E8=0,"",F8/E8)</f>
        <v/>
      </c>
      <c r="H8" s="7" t="inlineStr">
        <is>
          <t>OK</t>
        </is>
      </c>
    </row>
    <row r="9">
      <c r="A9" s="10" t="inlineStr">
        <is>
          <t>Simulado 01</t>
        </is>
      </c>
      <c r="B9" s="11" t="n">
        <v>2</v>
      </c>
      <c r="C9" s="11" t="inlineStr">
        <is>
          <t>11ª Fase</t>
        </is>
      </c>
      <c r="D9" s="11" t="inlineStr">
        <is>
          <t>E</t>
        </is>
      </c>
      <c r="E9" s="11" t="n">
        <v>27</v>
      </c>
      <c r="F9" s="11" t="n">
        <v>26</v>
      </c>
      <c r="G9" s="12">
        <f>IF(E9=0,"",F9/E9)</f>
        <v/>
      </c>
      <c r="H9" s="10" t="inlineStr">
        <is>
          <t>OK</t>
        </is>
      </c>
    </row>
    <row r="10">
      <c r="A10" s="7" t="inlineStr">
        <is>
          <t>Simulado 01</t>
        </is>
      </c>
      <c r="B10" s="8" t="n">
        <v>3</v>
      </c>
      <c r="C10" s="8" t="inlineStr">
        <is>
          <t>6ª Fase</t>
        </is>
      </c>
      <c r="D10" s="8" t="inlineStr">
        <is>
          <t>E</t>
        </is>
      </c>
      <c r="E10" s="8" t="n">
        <v>27</v>
      </c>
      <c r="F10" s="8" t="n">
        <v>13</v>
      </c>
      <c r="G10" s="9">
        <f>IF(E10=0,"",F10/E10)</f>
        <v/>
      </c>
      <c r="H10" s="7" t="inlineStr">
        <is>
          <t>OK</t>
        </is>
      </c>
    </row>
    <row r="11">
      <c r="A11" s="10" t="inlineStr">
        <is>
          <t>Simulado 01</t>
        </is>
      </c>
      <c r="B11" s="11" t="n">
        <v>3</v>
      </c>
      <c r="C11" s="11" t="inlineStr">
        <is>
          <t>7ª Fase</t>
        </is>
      </c>
      <c r="D11" s="11" t="inlineStr">
        <is>
          <t>E</t>
        </is>
      </c>
      <c r="E11" s="11" t="n">
        <v>33</v>
      </c>
      <c r="F11" s="11" t="n">
        <v>25</v>
      </c>
      <c r="G11" s="12">
        <f>IF(E11=0,"",F11/E11)</f>
        <v/>
      </c>
      <c r="H11" s="10" t="inlineStr">
        <is>
          <t>OK</t>
        </is>
      </c>
    </row>
    <row r="12">
      <c r="A12" s="7" t="inlineStr">
        <is>
          <t>Simulado 01</t>
        </is>
      </c>
      <c r="B12" s="8" t="n">
        <v>3</v>
      </c>
      <c r="C12" s="8" t="inlineStr">
        <is>
          <t>10ª Fase</t>
        </is>
      </c>
      <c r="D12" s="8" t="inlineStr">
        <is>
          <t>E</t>
        </is>
      </c>
      <c r="E12" s="8" t="n">
        <v>31</v>
      </c>
      <c r="F12" s="8" t="n">
        <v>18</v>
      </c>
      <c r="G12" s="9">
        <f>IF(E12=0,"",F12/E12)</f>
        <v/>
      </c>
      <c r="H12" s="7" t="inlineStr">
        <is>
          <t>OK</t>
        </is>
      </c>
    </row>
    <row r="13">
      <c r="A13" s="10" t="inlineStr">
        <is>
          <t>Simulado 01</t>
        </is>
      </c>
      <c r="B13" s="11" t="n">
        <v>3</v>
      </c>
      <c r="C13" s="11" t="inlineStr">
        <is>
          <t>11ª Fase</t>
        </is>
      </c>
      <c r="D13" s="11" t="inlineStr">
        <is>
          <t>E</t>
        </is>
      </c>
      <c r="E13" s="11" t="n">
        <v>27</v>
      </c>
      <c r="F13" s="11" t="n">
        <v>17</v>
      </c>
      <c r="G13" s="12">
        <f>IF(E13=0,"",F13/E13)</f>
        <v/>
      </c>
      <c r="H13" s="10" t="inlineStr">
        <is>
          <t>OK</t>
        </is>
      </c>
    </row>
    <row r="14">
      <c r="A14" s="7" t="inlineStr">
        <is>
          <t>Simulado 01</t>
        </is>
      </c>
      <c r="B14" s="8" t="n">
        <v>4</v>
      </c>
      <c r="C14" s="8" t="inlineStr">
        <is>
          <t>6ª Fase</t>
        </is>
      </c>
      <c r="D14" s="8" t="inlineStr">
        <is>
          <t>D</t>
        </is>
      </c>
      <c r="E14" s="8" t="n">
        <v>27</v>
      </c>
      <c r="F14" s="8" t="n">
        <v>19</v>
      </c>
      <c r="G14" s="9">
        <f>IF(E14=0,"",F14/E14)</f>
        <v/>
      </c>
      <c r="H14" s="7" t="inlineStr">
        <is>
          <t>OK</t>
        </is>
      </c>
    </row>
    <row r="15">
      <c r="A15" s="10" t="inlineStr">
        <is>
          <t>Simulado 01</t>
        </is>
      </c>
      <c r="B15" s="11" t="n">
        <v>4</v>
      </c>
      <c r="C15" s="11" t="inlineStr">
        <is>
          <t>7ª Fase</t>
        </is>
      </c>
      <c r="D15" s="11" t="inlineStr">
        <is>
          <t>D</t>
        </is>
      </c>
      <c r="E15" s="11" t="n">
        <v>33</v>
      </c>
      <c r="F15" s="11" t="n">
        <v>19</v>
      </c>
      <c r="G15" s="12">
        <f>IF(E15=0,"",F15/E15)</f>
        <v/>
      </c>
      <c r="H15" s="10" t="inlineStr">
        <is>
          <t>OK</t>
        </is>
      </c>
    </row>
    <row r="16">
      <c r="A16" s="7" t="inlineStr">
        <is>
          <t>Simulado 01</t>
        </is>
      </c>
      <c r="B16" s="8" t="n">
        <v>4</v>
      </c>
      <c r="C16" s="8" t="inlineStr">
        <is>
          <t>10ª Fase</t>
        </is>
      </c>
      <c r="D16" s="8" t="inlineStr">
        <is>
          <t>D</t>
        </is>
      </c>
      <c r="E16" s="8" t="n">
        <v>31</v>
      </c>
      <c r="F16" s="8" t="n">
        <v>13</v>
      </c>
      <c r="G16" s="9">
        <f>IF(E16=0,"",F16/E16)</f>
        <v/>
      </c>
      <c r="H16" s="7" t="inlineStr">
        <is>
          <t>OK</t>
        </is>
      </c>
    </row>
    <row r="17">
      <c r="A17" s="10" t="inlineStr">
        <is>
          <t>Simulado 01</t>
        </is>
      </c>
      <c r="B17" s="11" t="n">
        <v>4</v>
      </c>
      <c r="C17" s="11" t="inlineStr">
        <is>
          <t>11ª Fase</t>
        </is>
      </c>
      <c r="D17" s="11" t="inlineStr">
        <is>
          <t>D</t>
        </is>
      </c>
      <c r="E17" s="11" t="n">
        <v>27</v>
      </c>
      <c r="F17" s="11" t="n">
        <v>15</v>
      </c>
      <c r="G17" s="12">
        <f>IF(E17=0,"",F17/E17)</f>
        <v/>
      </c>
      <c r="H17" s="10" t="inlineStr">
        <is>
          <t>OK</t>
        </is>
      </c>
    </row>
    <row r="18">
      <c r="A18" s="7" t="inlineStr">
        <is>
          <t>Simulado 01</t>
        </is>
      </c>
      <c r="B18" s="8" t="n">
        <v>5</v>
      </c>
      <c r="C18" s="8" t="inlineStr">
        <is>
          <t>6ª Fase</t>
        </is>
      </c>
      <c r="D18" s="8" t="inlineStr">
        <is>
          <t>A</t>
        </is>
      </c>
      <c r="E18" s="8" t="n">
        <v>27</v>
      </c>
      <c r="F18" s="8" t="n">
        <v>6</v>
      </c>
      <c r="G18" s="9">
        <f>IF(E18=0,"",F18/E18)</f>
        <v/>
      </c>
      <c r="H18" s="7" t="inlineStr">
        <is>
          <t>OK</t>
        </is>
      </c>
    </row>
    <row r="19">
      <c r="A19" s="10" t="inlineStr">
        <is>
          <t>Simulado 01</t>
        </is>
      </c>
      <c r="B19" s="11" t="n">
        <v>5</v>
      </c>
      <c r="C19" s="11" t="inlineStr">
        <is>
          <t>7ª Fase</t>
        </is>
      </c>
      <c r="D19" s="11" t="inlineStr">
        <is>
          <t>A</t>
        </is>
      </c>
      <c r="E19" s="11" t="n">
        <v>33</v>
      </c>
      <c r="F19" s="11" t="n">
        <v>14</v>
      </c>
      <c r="G19" s="12">
        <f>IF(E19=0,"",F19/E19)</f>
        <v/>
      </c>
      <c r="H19" s="10" t="inlineStr">
        <is>
          <t>OK</t>
        </is>
      </c>
    </row>
    <row r="20">
      <c r="A20" s="7" t="inlineStr">
        <is>
          <t>Simulado 01</t>
        </is>
      </c>
      <c r="B20" s="8" t="n">
        <v>5</v>
      </c>
      <c r="C20" s="8" t="inlineStr">
        <is>
          <t>10ª Fase</t>
        </is>
      </c>
      <c r="D20" s="8" t="inlineStr">
        <is>
          <t>A</t>
        </is>
      </c>
      <c r="E20" s="8" t="n">
        <v>31</v>
      </c>
      <c r="F20" s="8" t="n">
        <v>16</v>
      </c>
      <c r="G20" s="9">
        <f>IF(E20=0,"",F20/E20)</f>
        <v/>
      </c>
      <c r="H20" s="7" t="inlineStr">
        <is>
          <t>OK</t>
        </is>
      </c>
    </row>
    <row r="21">
      <c r="A21" s="10" t="inlineStr">
        <is>
          <t>Simulado 01</t>
        </is>
      </c>
      <c r="B21" s="11" t="n">
        <v>5</v>
      </c>
      <c r="C21" s="11" t="inlineStr">
        <is>
          <t>11ª Fase</t>
        </is>
      </c>
      <c r="D21" s="11" t="inlineStr">
        <is>
          <t>A</t>
        </is>
      </c>
      <c r="E21" s="11" t="n">
        <v>27</v>
      </c>
      <c r="F21" s="11" t="n">
        <v>12</v>
      </c>
      <c r="G21" s="12">
        <f>IF(E21=0,"",F21/E21)</f>
        <v/>
      </c>
      <c r="H21" s="10" t="inlineStr">
        <is>
          <t>OK</t>
        </is>
      </c>
    </row>
    <row r="22">
      <c r="A22" s="7" t="inlineStr">
        <is>
          <t>Simulado 01</t>
        </is>
      </c>
      <c r="B22" s="8" t="n">
        <v>6</v>
      </c>
      <c r="C22" s="8" t="inlineStr">
        <is>
          <t>6ª Fase</t>
        </is>
      </c>
      <c r="D22" s="8" t="inlineStr">
        <is>
          <t>B</t>
        </is>
      </c>
      <c r="E22" s="8" t="n">
        <v>27</v>
      </c>
      <c r="F22" s="8" t="n">
        <v>2</v>
      </c>
      <c r="G22" s="9">
        <f>IF(E22=0,"",F22/E22)</f>
        <v/>
      </c>
      <c r="H22" s="7" t="inlineStr">
        <is>
          <t>OK</t>
        </is>
      </c>
    </row>
    <row r="23">
      <c r="A23" s="10" t="inlineStr">
        <is>
          <t>Simulado 01</t>
        </is>
      </c>
      <c r="B23" s="11" t="n">
        <v>6</v>
      </c>
      <c r="C23" s="11" t="inlineStr">
        <is>
          <t>7ª Fase</t>
        </is>
      </c>
      <c r="D23" s="11" t="inlineStr">
        <is>
          <t>B</t>
        </is>
      </c>
      <c r="E23" s="11" t="n">
        <v>33</v>
      </c>
      <c r="F23" s="11" t="n">
        <v>4</v>
      </c>
      <c r="G23" s="12">
        <f>IF(E23=0,"",F23/E23)</f>
        <v/>
      </c>
      <c r="H23" s="10" t="inlineStr">
        <is>
          <t>OK</t>
        </is>
      </c>
    </row>
    <row r="24">
      <c r="A24" s="7" t="inlineStr">
        <is>
          <t>Simulado 01</t>
        </is>
      </c>
      <c r="B24" s="8" t="n">
        <v>6</v>
      </c>
      <c r="C24" s="8" t="inlineStr">
        <is>
          <t>10ª Fase</t>
        </is>
      </c>
      <c r="D24" s="8" t="inlineStr">
        <is>
          <t>B</t>
        </is>
      </c>
      <c r="E24" s="8" t="n">
        <v>31</v>
      </c>
      <c r="F24" s="8" t="n">
        <v>3</v>
      </c>
      <c r="G24" s="9">
        <f>IF(E24=0,"",F24/E24)</f>
        <v/>
      </c>
      <c r="H24" s="7" t="inlineStr">
        <is>
          <t>OK</t>
        </is>
      </c>
    </row>
    <row r="25">
      <c r="A25" s="10" t="inlineStr">
        <is>
          <t>Simulado 01</t>
        </is>
      </c>
      <c r="B25" s="11" t="n">
        <v>6</v>
      </c>
      <c r="C25" s="11" t="inlineStr">
        <is>
          <t>11ª Fase</t>
        </is>
      </c>
      <c r="D25" s="11" t="inlineStr">
        <is>
          <t>B</t>
        </is>
      </c>
      <c r="E25" s="11" t="n">
        <v>27</v>
      </c>
      <c r="F25" s="11" t="n">
        <v>9</v>
      </c>
      <c r="G25" s="12">
        <f>IF(E25=0,"",F25/E25)</f>
        <v/>
      </c>
      <c r="H25" s="10" t="inlineStr">
        <is>
          <t>OK</t>
        </is>
      </c>
    </row>
    <row r="26">
      <c r="A26" s="7" t="inlineStr">
        <is>
          <t>Simulado 01</t>
        </is>
      </c>
      <c r="B26" s="8" t="n">
        <v>7</v>
      </c>
      <c r="C26" s="8" t="inlineStr">
        <is>
          <t>6ª Fase</t>
        </is>
      </c>
      <c r="D26" s="8" t="inlineStr">
        <is>
          <t>D</t>
        </is>
      </c>
      <c r="E26" s="8" t="n">
        <v>27</v>
      </c>
      <c r="F26" s="8" t="n">
        <v>8</v>
      </c>
      <c r="G26" s="9">
        <f>IF(E26=0,"",F26/E26)</f>
        <v/>
      </c>
      <c r="H26" s="7" t="inlineStr">
        <is>
          <t>OK</t>
        </is>
      </c>
    </row>
    <row r="27">
      <c r="A27" s="10" t="inlineStr">
        <is>
          <t>Simulado 01</t>
        </is>
      </c>
      <c r="B27" s="11" t="n">
        <v>7</v>
      </c>
      <c r="C27" s="11" t="inlineStr">
        <is>
          <t>7ª Fase</t>
        </is>
      </c>
      <c r="D27" s="11" t="inlineStr">
        <is>
          <t>D</t>
        </is>
      </c>
      <c r="E27" s="11" t="n">
        <v>33</v>
      </c>
      <c r="F27" s="11" t="n">
        <v>8</v>
      </c>
      <c r="G27" s="12">
        <f>IF(E27=0,"",F27/E27)</f>
        <v/>
      </c>
      <c r="H27" s="10" t="inlineStr">
        <is>
          <t>OK</t>
        </is>
      </c>
    </row>
    <row r="28">
      <c r="A28" s="7" t="inlineStr">
        <is>
          <t>Simulado 01</t>
        </is>
      </c>
      <c r="B28" s="8" t="n">
        <v>7</v>
      </c>
      <c r="C28" s="8" t="inlineStr">
        <is>
          <t>10ª Fase</t>
        </is>
      </c>
      <c r="D28" s="8" t="inlineStr">
        <is>
          <t>D</t>
        </is>
      </c>
      <c r="E28" s="8" t="n">
        <v>31</v>
      </c>
      <c r="F28" s="8" t="n">
        <v>7</v>
      </c>
      <c r="G28" s="9">
        <f>IF(E28=0,"",F28/E28)</f>
        <v/>
      </c>
      <c r="H28" s="7" t="inlineStr">
        <is>
          <t>OK</t>
        </is>
      </c>
    </row>
    <row r="29">
      <c r="A29" s="10" t="inlineStr">
        <is>
          <t>Simulado 01</t>
        </is>
      </c>
      <c r="B29" s="11" t="n">
        <v>7</v>
      </c>
      <c r="C29" s="11" t="inlineStr">
        <is>
          <t>11ª Fase</t>
        </is>
      </c>
      <c r="D29" s="11" t="inlineStr">
        <is>
          <t>D</t>
        </is>
      </c>
      <c r="E29" s="11" t="n">
        <v>27</v>
      </c>
      <c r="F29" s="11" t="n">
        <v>12</v>
      </c>
      <c r="G29" s="12">
        <f>IF(E29=0,"",F29/E29)</f>
        <v/>
      </c>
      <c r="H29" s="10" t="inlineStr">
        <is>
          <t>OK</t>
        </is>
      </c>
    </row>
    <row r="30">
      <c r="A30" s="7" t="inlineStr">
        <is>
          <t>Simulado 01</t>
        </is>
      </c>
      <c r="B30" s="8" t="n">
        <v>8</v>
      </c>
      <c r="C30" s="8" t="inlineStr">
        <is>
          <t>6ª Fase</t>
        </is>
      </c>
      <c r="D30" s="8" t="inlineStr">
        <is>
          <t>E</t>
        </is>
      </c>
      <c r="E30" s="8" t="n">
        <v>27</v>
      </c>
      <c r="F30" s="8" t="n">
        <v>4</v>
      </c>
      <c r="G30" s="9">
        <f>IF(E30=0,"",F30/E30)</f>
        <v/>
      </c>
      <c r="H30" s="7" t="inlineStr">
        <is>
          <t>OK</t>
        </is>
      </c>
    </row>
    <row r="31">
      <c r="A31" s="10" t="inlineStr">
        <is>
          <t>Simulado 01</t>
        </is>
      </c>
      <c r="B31" s="11" t="n">
        <v>8</v>
      </c>
      <c r="C31" s="11" t="inlineStr">
        <is>
          <t>7ª Fase</t>
        </is>
      </c>
      <c r="D31" s="11" t="inlineStr">
        <is>
          <t>E</t>
        </is>
      </c>
      <c r="E31" s="11" t="n">
        <v>33</v>
      </c>
      <c r="F31" s="11" t="n">
        <v>1</v>
      </c>
      <c r="G31" s="12">
        <f>IF(E31=0,"",F31/E31)</f>
        <v/>
      </c>
      <c r="H31" s="10" t="inlineStr">
        <is>
          <t>OK</t>
        </is>
      </c>
    </row>
    <row r="32">
      <c r="A32" s="7" t="inlineStr">
        <is>
          <t>Simulado 01</t>
        </is>
      </c>
      <c r="B32" s="8" t="n">
        <v>8</v>
      </c>
      <c r="C32" s="8" t="inlineStr">
        <is>
          <t>10ª Fase</t>
        </is>
      </c>
      <c r="D32" s="8" t="inlineStr">
        <is>
          <t>E</t>
        </is>
      </c>
      <c r="E32" s="8" t="n">
        <v>31</v>
      </c>
      <c r="F32" s="8" t="n">
        <v>1</v>
      </c>
      <c r="G32" s="9">
        <f>IF(E32=0,"",F32/E32)</f>
        <v/>
      </c>
      <c r="H32" s="7" t="inlineStr">
        <is>
          <t>OK</t>
        </is>
      </c>
    </row>
    <row r="33">
      <c r="A33" s="10" t="inlineStr">
        <is>
          <t>Simulado 01</t>
        </is>
      </c>
      <c r="B33" s="11" t="n">
        <v>8</v>
      </c>
      <c r="C33" s="11" t="inlineStr">
        <is>
          <t>11ª Fase</t>
        </is>
      </c>
      <c r="D33" s="11" t="inlineStr">
        <is>
          <t>E</t>
        </is>
      </c>
      <c r="E33" s="11" t="n">
        <v>27</v>
      </c>
      <c r="F33" s="11" t="n">
        <v>0</v>
      </c>
      <c r="G33" s="12">
        <f>IF(E33=0,"",F33/E33)</f>
        <v/>
      </c>
      <c r="H33" s="10" t="inlineStr">
        <is>
          <t>OK</t>
        </is>
      </c>
    </row>
    <row r="34">
      <c r="A34" s="7" t="inlineStr">
        <is>
          <t>Simulado 01</t>
        </is>
      </c>
      <c r="B34" s="8" t="n">
        <v>9</v>
      </c>
      <c r="C34" s="8" t="inlineStr">
        <is>
          <t>6ª Fase</t>
        </is>
      </c>
      <c r="D34" s="8" t="inlineStr">
        <is>
          <t>E</t>
        </is>
      </c>
      <c r="E34" s="8" t="n">
        <v>27</v>
      </c>
      <c r="F34" s="8" t="n">
        <v>24</v>
      </c>
      <c r="G34" s="9">
        <f>IF(E34=0,"",F34/E34)</f>
        <v/>
      </c>
      <c r="H34" s="7" t="inlineStr">
        <is>
          <t>OK</t>
        </is>
      </c>
    </row>
    <row r="35">
      <c r="A35" s="10" t="inlineStr">
        <is>
          <t>Simulado 01</t>
        </is>
      </c>
      <c r="B35" s="11" t="n">
        <v>9</v>
      </c>
      <c r="C35" s="11" t="inlineStr">
        <is>
          <t>7ª Fase</t>
        </is>
      </c>
      <c r="D35" s="11" t="inlineStr">
        <is>
          <t>E</t>
        </is>
      </c>
      <c r="E35" s="11" t="n">
        <v>33</v>
      </c>
      <c r="F35" s="11" t="n">
        <v>30</v>
      </c>
      <c r="G35" s="12">
        <f>IF(E35=0,"",F35/E35)</f>
        <v/>
      </c>
      <c r="H35" s="10" t="inlineStr">
        <is>
          <t>OK</t>
        </is>
      </c>
    </row>
    <row r="36">
      <c r="A36" s="7" t="inlineStr">
        <is>
          <t>Simulado 01</t>
        </is>
      </c>
      <c r="B36" s="8" t="n">
        <v>9</v>
      </c>
      <c r="C36" s="8" t="inlineStr">
        <is>
          <t>10ª Fase</t>
        </is>
      </c>
      <c r="D36" s="8" t="inlineStr">
        <is>
          <t>E</t>
        </is>
      </c>
      <c r="E36" s="8" t="n">
        <v>31</v>
      </c>
      <c r="F36" s="8" t="n">
        <v>28</v>
      </c>
      <c r="G36" s="9">
        <f>IF(E36=0,"",F36/E36)</f>
        <v/>
      </c>
      <c r="H36" s="7" t="inlineStr">
        <is>
          <t>OK</t>
        </is>
      </c>
    </row>
    <row r="37">
      <c r="A37" s="10" t="inlineStr">
        <is>
          <t>Simulado 01</t>
        </is>
      </c>
      <c r="B37" s="11" t="n">
        <v>9</v>
      </c>
      <c r="C37" s="11" t="inlineStr">
        <is>
          <t>11ª Fase</t>
        </is>
      </c>
      <c r="D37" s="11" t="inlineStr">
        <is>
          <t>E</t>
        </is>
      </c>
      <c r="E37" s="11" t="n">
        <v>27</v>
      </c>
      <c r="F37" s="11" t="n">
        <v>24</v>
      </c>
      <c r="G37" s="12">
        <f>IF(E37=0,"",F37/E37)</f>
        <v/>
      </c>
      <c r="H37" s="10" t="inlineStr">
        <is>
          <t>OK</t>
        </is>
      </c>
    </row>
    <row r="38">
      <c r="A38" s="7" t="inlineStr">
        <is>
          <t>Simulado 01</t>
        </is>
      </c>
      <c r="B38" s="8" t="n">
        <v>10</v>
      </c>
      <c r="C38" s="8" t="inlineStr">
        <is>
          <t>6ª Fase</t>
        </is>
      </c>
      <c r="D38" s="8" t="inlineStr">
        <is>
          <t>B</t>
        </is>
      </c>
      <c r="E38" s="8" t="n">
        <v>27</v>
      </c>
      <c r="F38" s="8" t="n">
        <v>22</v>
      </c>
      <c r="G38" s="9">
        <f>IF(E38=0,"",F38/E38)</f>
        <v/>
      </c>
      <c r="H38" s="7" t="inlineStr">
        <is>
          <t>OK</t>
        </is>
      </c>
    </row>
    <row r="39">
      <c r="A39" s="10" t="inlineStr">
        <is>
          <t>Simulado 01</t>
        </is>
      </c>
      <c r="B39" s="11" t="n">
        <v>10</v>
      </c>
      <c r="C39" s="11" t="inlineStr">
        <is>
          <t>7ª Fase</t>
        </is>
      </c>
      <c r="D39" s="11" t="inlineStr">
        <is>
          <t>B</t>
        </is>
      </c>
      <c r="E39" s="11" t="n">
        <v>33</v>
      </c>
      <c r="F39" s="11" t="n">
        <v>25</v>
      </c>
      <c r="G39" s="12">
        <f>IF(E39=0,"",F39/E39)</f>
        <v/>
      </c>
      <c r="H39" s="10" t="inlineStr">
        <is>
          <t>OK</t>
        </is>
      </c>
    </row>
    <row r="40">
      <c r="A40" s="7" t="inlineStr">
        <is>
          <t>Simulado 01</t>
        </is>
      </c>
      <c r="B40" s="8" t="n">
        <v>10</v>
      </c>
      <c r="C40" s="8" t="inlineStr">
        <is>
          <t>10ª Fase</t>
        </is>
      </c>
      <c r="D40" s="8" t="inlineStr">
        <is>
          <t>B</t>
        </is>
      </c>
      <c r="E40" s="8" t="n">
        <v>31</v>
      </c>
      <c r="F40" s="8" t="n">
        <v>27</v>
      </c>
      <c r="G40" s="9">
        <f>IF(E40=0,"",F40/E40)</f>
        <v/>
      </c>
      <c r="H40" s="7" t="inlineStr">
        <is>
          <t>OK</t>
        </is>
      </c>
    </row>
    <row r="41">
      <c r="A41" s="10" t="inlineStr">
        <is>
          <t>Simulado 01</t>
        </is>
      </c>
      <c r="B41" s="11" t="n">
        <v>10</v>
      </c>
      <c r="C41" s="11" t="inlineStr">
        <is>
          <t>11ª Fase</t>
        </is>
      </c>
      <c r="D41" s="11" t="inlineStr">
        <is>
          <t>B</t>
        </is>
      </c>
      <c r="E41" s="11" t="n">
        <v>27</v>
      </c>
      <c r="F41" s="11" t="n">
        <v>21</v>
      </c>
      <c r="G41" s="12">
        <f>IF(E41=0,"",F41/E41)</f>
        <v/>
      </c>
      <c r="H41" s="10" t="inlineStr">
        <is>
          <t>OK</t>
        </is>
      </c>
    </row>
    <row r="42">
      <c r="A42" s="7" t="inlineStr">
        <is>
          <t>Simulado 01</t>
        </is>
      </c>
      <c r="B42" s="8" t="n">
        <v>11</v>
      </c>
      <c r="C42" s="8" t="inlineStr">
        <is>
          <t>6ª Fase</t>
        </is>
      </c>
      <c r="D42" s="8" t="inlineStr">
        <is>
          <t>C</t>
        </is>
      </c>
      <c r="E42" s="8" t="n">
        <v>27</v>
      </c>
      <c r="F42" s="8" t="n">
        <v>3</v>
      </c>
      <c r="G42" s="9">
        <f>IF(E42=0,"",F42/E42)</f>
        <v/>
      </c>
      <c r="H42" s="7" t="inlineStr">
        <is>
          <t>OK</t>
        </is>
      </c>
    </row>
    <row r="43">
      <c r="A43" s="10" t="inlineStr">
        <is>
          <t>Simulado 01</t>
        </is>
      </c>
      <c r="B43" s="11" t="n">
        <v>11</v>
      </c>
      <c r="C43" s="11" t="inlineStr">
        <is>
          <t>7ª Fase</t>
        </is>
      </c>
      <c r="D43" s="11" t="inlineStr">
        <is>
          <t>C</t>
        </is>
      </c>
      <c r="E43" s="11" t="n">
        <v>33</v>
      </c>
      <c r="F43" s="11" t="n">
        <v>9</v>
      </c>
      <c r="G43" s="12">
        <f>IF(E43=0,"",F43/E43)</f>
        <v/>
      </c>
      <c r="H43" s="10" t="inlineStr">
        <is>
          <t>OK</t>
        </is>
      </c>
    </row>
    <row r="44">
      <c r="A44" s="7" t="inlineStr">
        <is>
          <t>Simulado 01</t>
        </is>
      </c>
      <c r="B44" s="8" t="n">
        <v>11</v>
      </c>
      <c r="C44" s="8" t="inlineStr">
        <is>
          <t>10ª Fase</t>
        </is>
      </c>
      <c r="D44" s="8" t="inlineStr">
        <is>
          <t>C</t>
        </is>
      </c>
      <c r="E44" s="8" t="n">
        <v>31</v>
      </c>
      <c r="F44" s="8" t="n">
        <v>6</v>
      </c>
      <c r="G44" s="9">
        <f>IF(E44=0,"",F44/E44)</f>
        <v/>
      </c>
      <c r="H44" s="7" t="inlineStr">
        <is>
          <t>OK</t>
        </is>
      </c>
    </row>
    <row r="45">
      <c r="A45" s="10" t="inlineStr">
        <is>
          <t>Simulado 01</t>
        </is>
      </c>
      <c r="B45" s="11" t="n">
        <v>11</v>
      </c>
      <c r="C45" s="11" t="inlineStr">
        <is>
          <t>11ª Fase</t>
        </is>
      </c>
      <c r="D45" s="11" t="inlineStr">
        <is>
          <t>C</t>
        </is>
      </c>
      <c r="E45" s="11" t="n">
        <v>27</v>
      </c>
      <c r="F45" s="11" t="n">
        <v>2</v>
      </c>
      <c r="G45" s="12">
        <f>IF(E45=0,"",F45/E45)</f>
        <v/>
      </c>
      <c r="H45" s="10" t="inlineStr">
        <is>
          <t>OK</t>
        </is>
      </c>
    </row>
    <row r="46">
      <c r="A46" s="7" t="inlineStr">
        <is>
          <t>Simulado 01</t>
        </is>
      </c>
      <c r="B46" s="8" t="n">
        <v>12</v>
      </c>
      <c r="C46" s="8" t="inlineStr">
        <is>
          <t>6ª Fase</t>
        </is>
      </c>
      <c r="D46" s="8" t="inlineStr">
        <is>
          <t>A</t>
        </is>
      </c>
      <c r="E46" s="8" t="n">
        <v>27</v>
      </c>
      <c r="F46" s="8" t="n">
        <v>13</v>
      </c>
      <c r="G46" s="9">
        <f>IF(E46=0,"",F46/E46)</f>
        <v/>
      </c>
      <c r="H46" s="7" t="inlineStr">
        <is>
          <t>OK</t>
        </is>
      </c>
    </row>
    <row r="47">
      <c r="A47" s="10" t="inlineStr">
        <is>
          <t>Simulado 01</t>
        </is>
      </c>
      <c r="B47" s="11" t="n">
        <v>12</v>
      </c>
      <c r="C47" s="11" t="inlineStr">
        <is>
          <t>7ª Fase</t>
        </is>
      </c>
      <c r="D47" s="11" t="inlineStr">
        <is>
          <t>A</t>
        </is>
      </c>
      <c r="E47" s="11" t="n">
        <v>33</v>
      </c>
      <c r="F47" s="11" t="n">
        <v>11</v>
      </c>
      <c r="G47" s="12">
        <f>IF(E47=0,"",F47/E47)</f>
        <v/>
      </c>
      <c r="H47" s="10" t="inlineStr">
        <is>
          <t>OK</t>
        </is>
      </c>
    </row>
    <row r="48">
      <c r="A48" s="7" t="inlineStr">
        <is>
          <t>Simulado 01</t>
        </is>
      </c>
      <c r="B48" s="8" t="n">
        <v>12</v>
      </c>
      <c r="C48" s="8" t="inlineStr">
        <is>
          <t>10ª Fase</t>
        </is>
      </c>
      <c r="D48" s="8" t="inlineStr">
        <is>
          <t>A</t>
        </is>
      </c>
      <c r="E48" s="8" t="n">
        <v>31</v>
      </c>
      <c r="F48" s="8" t="n">
        <v>14</v>
      </c>
      <c r="G48" s="9">
        <f>IF(E48=0,"",F48/E48)</f>
        <v/>
      </c>
      <c r="H48" s="7" t="inlineStr">
        <is>
          <t>OK</t>
        </is>
      </c>
    </row>
    <row r="49">
      <c r="A49" s="10" t="inlineStr">
        <is>
          <t>Simulado 01</t>
        </is>
      </c>
      <c r="B49" s="11" t="n">
        <v>12</v>
      </c>
      <c r="C49" s="11" t="inlineStr">
        <is>
          <t>11ª Fase</t>
        </is>
      </c>
      <c r="D49" s="11" t="inlineStr">
        <is>
          <t>A</t>
        </is>
      </c>
      <c r="E49" s="11" t="n">
        <v>27</v>
      </c>
      <c r="F49" s="11" t="n">
        <v>16</v>
      </c>
      <c r="G49" s="12">
        <f>IF(E49=0,"",F49/E49)</f>
        <v/>
      </c>
      <c r="H49" s="10" t="inlineStr">
        <is>
          <t>OK</t>
        </is>
      </c>
    </row>
    <row r="50">
      <c r="A50" s="7" t="inlineStr">
        <is>
          <t>Simulado 01</t>
        </is>
      </c>
      <c r="B50" s="8" t="n">
        <v>13</v>
      </c>
      <c r="C50" s="8" t="inlineStr">
        <is>
          <t>6ª Fase</t>
        </is>
      </c>
      <c r="D50" s="8" t="inlineStr">
        <is>
          <t>E</t>
        </is>
      </c>
      <c r="E50" s="8" t="n">
        <v>27</v>
      </c>
      <c r="F50" s="8" t="n">
        <v>24</v>
      </c>
      <c r="G50" s="9">
        <f>IF(E50=0,"",F50/E50)</f>
        <v/>
      </c>
      <c r="H50" s="7" t="inlineStr">
        <is>
          <t>OK</t>
        </is>
      </c>
    </row>
    <row r="51">
      <c r="A51" s="10" t="inlineStr">
        <is>
          <t>Simulado 01</t>
        </is>
      </c>
      <c r="B51" s="11" t="n">
        <v>13</v>
      </c>
      <c r="C51" s="11" t="inlineStr">
        <is>
          <t>7ª Fase</t>
        </is>
      </c>
      <c r="D51" s="11" t="inlineStr">
        <is>
          <t>E</t>
        </is>
      </c>
      <c r="E51" s="11" t="n">
        <v>33</v>
      </c>
      <c r="F51" s="11" t="n">
        <v>25</v>
      </c>
      <c r="G51" s="12">
        <f>IF(E51=0,"",F51/E51)</f>
        <v/>
      </c>
      <c r="H51" s="10" t="inlineStr">
        <is>
          <t>OK</t>
        </is>
      </c>
    </row>
    <row r="52">
      <c r="A52" s="7" t="inlineStr">
        <is>
          <t>Simulado 01</t>
        </is>
      </c>
      <c r="B52" s="8" t="n">
        <v>13</v>
      </c>
      <c r="C52" s="8" t="inlineStr">
        <is>
          <t>10ª Fase</t>
        </is>
      </c>
      <c r="D52" s="8" t="inlineStr">
        <is>
          <t>E</t>
        </is>
      </c>
      <c r="E52" s="8" t="n">
        <v>31</v>
      </c>
      <c r="F52" s="8" t="n">
        <v>24</v>
      </c>
      <c r="G52" s="9">
        <f>IF(E52=0,"",F52/E52)</f>
        <v/>
      </c>
      <c r="H52" s="7" t="inlineStr">
        <is>
          <t>OK</t>
        </is>
      </c>
    </row>
    <row r="53">
      <c r="A53" s="10" t="inlineStr">
        <is>
          <t>Simulado 01</t>
        </is>
      </c>
      <c r="B53" s="11" t="n">
        <v>13</v>
      </c>
      <c r="C53" s="11" t="inlineStr">
        <is>
          <t>11ª Fase</t>
        </is>
      </c>
      <c r="D53" s="11" t="inlineStr">
        <is>
          <t>E</t>
        </is>
      </c>
      <c r="E53" s="11" t="n">
        <v>27</v>
      </c>
      <c r="F53" s="11" t="n">
        <v>26</v>
      </c>
      <c r="G53" s="12">
        <f>IF(E53=0,"",F53/E53)</f>
        <v/>
      </c>
      <c r="H53" s="10" t="inlineStr">
        <is>
          <t>OK</t>
        </is>
      </c>
    </row>
    <row r="54">
      <c r="A54" s="7" t="inlineStr">
        <is>
          <t>Simulado 01</t>
        </is>
      </c>
      <c r="B54" s="8" t="n">
        <v>14</v>
      </c>
      <c r="C54" s="8" t="inlineStr">
        <is>
          <t>6ª Fase</t>
        </is>
      </c>
      <c r="D54" s="8" t="inlineStr">
        <is>
          <t>C</t>
        </is>
      </c>
      <c r="E54" s="8" t="n">
        <v>27</v>
      </c>
      <c r="F54" s="8" t="n">
        <v>7</v>
      </c>
      <c r="G54" s="9">
        <f>IF(E54=0,"",F54/E54)</f>
        <v/>
      </c>
      <c r="H54" s="7" t="inlineStr">
        <is>
          <t>OK</t>
        </is>
      </c>
    </row>
    <row r="55">
      <c r="A55" s="10" t="inlineStr">
        <is>
          <t>Simulado 01</t>
        </is>
      </c>
      <c r="B55" s="11" t="n">
        <v>14</v>
      </c>
      <c r="C55" s="11" t="inlineStr">
        <is>
          <t>7ª Fase</t>
        </is>
      </c>
      <c r="D55" s="11" t="inlineStr">
        <is>
          <t>C</t>
        </is>
      </c>
      <c r="E55" s="11" t="n">
        <v>33</v>
      </c>
      <c r="F55" s="11" t="n">
        <v>7</v>
      </c>
      <c r="G55" s="12">
        <f>IF(E55=0,"",F55/E55)</f>
        <v/>
      </c>
      <c r="H55" s="10" t="inlineStr">
        <is>
          <t>OK</t>
        </is>
      </c>
    </row>
    <row r="56">
      <c r="A56" s="7" t="inlineStr">
        <is>
          <t>Simulado 01</t>
        </is>
      </c>
      <c r="B56" s="8" t="n">
        <v>14</v>
      </c>
      <c r="C56" s="8" t="inlineStr">
        <is>
          <t>10ª Fase</t>
        </is>
      </c>
      <c r="D56" s="8" t="inlineStr">
        <is>
          <t>C</t>
        </is>
      </c>
      <c r="E56" s="8" t="n">
        <v>31</v>
      </c>
      <c r="F56" s="8" t="n">
        <v>9</v>
      </c>
      <c r="G56" s="9">
        <f>IF(E56=0,"",F56/E56)</f>
        <v/>
      </c>
      <c r="H56" s="7" t="inlineStr">
        <is>
          <t>OK</t>
        </is>
      </c>
    </row>
    <row r="57">
      <c r="A57" s="10" t="inlineStr">
        <is>
          <t>Simulado 01</t>
        </is>
      </c>
      <c r="B57" s="11" t="n">
        <v>14</v>
      </c>
      <c r="C57" s="11" t="inlineStr">
        <is>
          <t>11ª Fase</t>
        </is>
      </c>
      <c r="D57" s="11" t="inlineStr">
        <is>
          <t>C</t>
        </is>
      </c>
      <c r="E57" s="11" t="n">
        <v>27</v>
      </c>
      <c r="F57" s="11" t="n">
        <v>3</v>
      </c>
      <c r="G57" s="12">
        <f>IF(E57=0,"",F57/E57)</f>
        <v/>
      </c>
      <c r="H57" s="10" t="inlineStr">
        <is>
          <t>OK</t>
        </is>
      </c>
    </row>
    <row r="58">
      <c r="A58" s="7" t="inlineStr">
        <is>
          <t>Simulado 01</t>
        </is>
      </c>
      <c r="B58" s="8" t="n">
        <v>15</v>
      </c>
      <c r="C58" s="8" t="inlineStr">
        <is>
          <t>6ª Fase</t>
        </is>
      </c>
      <c r="D58" s="8" t="inlineStr">
        <is>
          <t>E</t>
        </is>
      </c>
      <c r="E58" s="8" t="n">
        <v>27</v>
      </c>
      <c r="F58" s="8" t="n">
        <v>14</v>
      </c>
      <c r="G58" s="9">
        <f>IF(E58=0,"",F58/E58)</f>
        <v/>
      </c>
      <c r="H58" s="7" t="inlineStr">
        <is>
          <t>OK</t>
        </is>
      </c>
    </row>
    <row r="59">
      <c r="A59" s="10" t="inlineStr">
        <is>
          <t>Simulado 01</t>
        </is>
      </c>
      <c r="B59" s="11" t="n">
        <v>15</v>
      </c>
      <c r="C59" s="11" t="inlineStr">
        <is>
          <t>7ª Fase</t>
        </is>
      </c>
      <c r="D59" s="11" t="inlineStr">
        <is>
          <t>E</t>
        </is>
      </c>
      <c r="E59" s="11" t="n">
        <v>33</v>
      </c>
      <c r="F59" s="11" t="n">
        <v>21</v>
      </c>
      <c r="G59" s="12">
        <f>IF(E59=0,"",F59/E59)</f>
        <v/>
      </c>
      <c r="H59" s="10" t="inlineStr">
        <is>
          <t>OK</t>
        </is>
      </c>
    </row>
    <row r="60">
      <c r="A60" s="7" t="inlineStr">
        <is>
          <t>Simulado 01</t>
        </is>
      </c>
      <c r="B60" s="8" t="n">
        <v>15</v>
      </c>
      <c r="C60" s="8" t="inlineStr">
        <is>
          <t>10ª Fase</t>
        </is>
      </c>
      <c r="D60" s="8" t="inlineStr">
        <is>
          <t>E</t>
        </is>
      </c>
      <c r="E60" s="8" t="n">
        <v>31</v>
      </c>
      <c r="F60" s="8" t="n">
        <v>19</v>
      </c>
      <c r="G60" s="9">
        <f>IF(E60=0,"",F60/E60)</f>
        <v/>
      </c>
      <c r="H60" s="7" t="inlineStr">
        <is>
          <t>OK</t>
        </is>
      </c>
    </row>
    <row r="61">
      <c r="A61" s="10" t="inlineStr">
        <is>
          <t>Simulado 01</t>
        </is>
      </c>
      <c r="B61" s="11" t="n">
        <v>15</v>
      </c>
      <c r="C61" s="11" t="inlineStr">
        <is>
          <t>11ª Fase</t>
        </is>
      </c>
      <c r="D61" s="11" t="inlineStr">
        <is>
          <t>E</t>
        </is>
      </c>
      <c r="E61" s="11" t="n">
        <v>27</v>
      </c>
      <c r="F61" s="11" t="n">
        <v>18</v>
      </c>
      <c r="G61" s="12">
        <f>IF(E61=0,"",F61/E61)</f>
        <v/>
      </c>
      <c r="H61" s="10" t="inlineStr">
        <is>
          <t>OK</t>
        </is>
      </c>
    </row>
    <row r="62">
      <c r="A62" s="7" t="inlineStr">
        <is>
          <t>Simulado 01</t>
        </is>
      </c>
      <c r="B62" s="8" t="n">
        <v>16</v>
      </c>
      <c r="C62" s="8" t="inlineStr">
        <is>
          <t>6ª Fase</t>
        </is>
      </c>
      <c r="D62" s="8" t="inlineStr">
        <is>
          <t>B</t>
        </is>
      </c>
      <c r="E62" s="8" t="n">
        <v>27</v>
      </c>
      <c r="F62" s="8" t="n">
        <v>22</v>
      </c>
      <c r="G62" s="9">
        <f>IF(E62=0,"",F62/E62)</f>
        <v/>
      </c>
      <c r="H62" s="7" t="inlineStr">
        <is>
          <t>OK</t>
        </is>
      </c>
    </row>
    <row r="63">
      <c r="A63" s="10" t="inlineStr">
        <is>
          <t>Simulado 01</t>
        </is>
      </c>
      <c r="B63" s="11" t="n">
        <v>16</v>
      </c>
      <c r="C63" s="11" t="inlineStr">
        <is>
          <t>7ª Fase</t>
        </is>
      </c>
      <c r="D63" s="11" t="inlineStr">
        <is>
          <t>B</t>
        </is>
      </c>
      <c r="E63" s="11" t="n">
        <v>33</v>
      </c>
      <c r="F63" s="11" t="n">
        <v>28</v>
      </c>
      <c r="G63" s="12">
        <f>IF(E63=0,"",F63/E63)</f>
        <v/>
      </c>
      <c r="H63" s="10" t="inlineStr">
        <is>
          <t>OK</t>
        </is>
      </c>
    </row>
    <row r="64">
      <c r="A64" s="7" t="inlineStr">
        <is>
          <t>Simulado 01</t>
        </is>
      </c>
      <c r="B64" s="8" t="n">
        <v>16</v>
      </c>
      <c r="C64" s="8" t="inlineStr">
        <is>
          <t>10ª Fase</t>
        </is>
      </c>
      <c r="D64" s="8" t="inlineStr">
        <is>
          <t>B</t>
        </is>
      </c>
      <c r="E64" s="8" t="n">
        <v>31</v>
      </c>
      <c r="F64" s="8" t="n">
        <v>21</v>
      </c>
      <c r="G64" s="9">
        <f>IF(E64=0,"",F64/E64)</f>
        <v/>
      </c>
      <c r="H64" s="7" t="inlineStr">
        <is>
          <t>OK</t>
        </is>
      </c>
    </row>
    <row r="65">
      <c r="A65" s="10" t="inlineStr">
        <is>
          <t>Simulado 01</t>
        </is>
      </c>
      <c r="B65" s="11" t="n">
        <v>16</v>
      </c>
      <c r="C65" s="11" t="inlineStr">
        <is>
          <t>11ª Fase</t>
        </is>
      </c>
      <c r="D65" s="11" t="inlineStr">
        <is>
          <t>B</t>
        </is>
      </c>
      <c r="E65" s="11" t="n">
        <v>27</v>
      </c>
      <c r="F65" s="11" t="n">
        <v>22</v>
      </c>
      <c r="G65" s="12">
        <f>IF(E65=0,"",F65/E65)</f>
        <v/>
      </c>
      <c r="H65" s="10" t="inlineStr">
        <is>
          <t>OK</t>
        </is>
      </c>
    </row>
    <row r="66">
      <c r="A66" s="7" t="inlineStr">
        <is>
          <t>Simulado 01</t>
        </is>
      </c>
      <c r="B66" s="8" t="n">
        <v>17</v>
      </c>
      <c r="C66" s="8" t="inlineStr">
        <is>
          <t>6ª Fase</t>
        </is>
      </c>
      <c r="D66" s="8" t="inlineStr">
        <is>
          <t>C</t>
        </is>
      </c>
      <c r="E66" s="8" t="n">
        <v>27</v>
      </c>
      <c r="F66" s="8" t="n">
        <v>3</v>
      </c>
      <c r="G66" s="9">
        <f>IF(E66=0,"",F66/E66)</f>
        <v/>
      </c>
      <c r="H66" s="7" t="inlineStr">
        <is>
          <t>OK</t>
        </is>
      </c>
    </row>
    <row r="67">
      <c r="A67" s="10" t="inlineStr">
        <is>
          <t>Simulado 01</t>
        </is>
      </c>
      <c r="B67" s="11" t="n">
        <v>17</v>
      </c>
      <c r="C67" s="11" t="inlineStr">
        <is>
          <t>7ª Fase</t>
        </is>
      </c>
      <c r="D67" s="11" t="inlineStr">
        <is>
          <t>C</t>
        </is>
      </c>
      <c r="E67" s="11" t="n">
        <v>33</v>
      </c>
      <c r="F67" s="11" t="n">
        <v>3</v>
      </c>
      <c r="G67" s="12">
        <f>IF(E67=0,"",F67/E67)</f>
        <v/>
      </c>
      <c r="H67" s="10" t="inlineStr">
        <is>
          <t>OK</t>
        </is>
      </c>
    </row>
    <row r="68">
      <c r="A68" s="7" t="inlineStr">
        <is>
          <t>Simulado 01</t>
        </is>
      </c>
      <c r="B68" s="8" t="n">
        <v>17</v>
      </c>
      <c r="C68" s="8" t="inlineStr">
        <is>
          <t>10ª Fase</t>
        </is>
      </c>
      <c r="D68" s="8" t="inlineStr">
        <is>
          <t>C</t>
        </is>
      </c>
      <c r="E68" s="8" t="n">
        <v>31</v>
      </c>
      <c r="F68" s="8" t="n">
        <v>2</v>
      </c>
      <c r="G68" s="9">
        <f>IF(E68=0,"",F68/E68)</f>
        <v/>
      </c>
      <c r="H68" s="7" t="inlineStr">
        <is>
          <t>OK</t>
        </is>
      </c>
    </row>
    <row r="69">
      <c r="A69" s="10" t="inlineStr">
        <is>
          <t>Simulado 01</t>
        </is>
      </c>
      <c r="B69" s="11" t="n">
        <v>17</v>
      </c>
      <c r="C69" s="11" t="inlineStr">
        <is>
          <t>11ª Fase</t>
        </is>
      </c>
      <c r="D69" s="11" t="inlineStr">
        <is>
          <t>C</t>
        </is>
      </c>
      <c r="E69" s="11" t="n">
        <v>27</v>
      </c>
      <c r="F69" s="11" t="n">
        <v>2</v>
      </c>
      <c r="G69" s="12">
        <f>IF(E69=0,"",F69/E69)</f>
        <v/>
      </c>
      <c r="H69" s="10" t="inlineStr">
        <is>
          <t>OK</t>
        </is>
      </c>
    </row>
    <row r="70">
      <c r="A70" s="7" t="inlineStr">
        <is>
          <t>Simulado 01</t>
        </is>
      </c>
      <c r="B70" s="8" t="n">
        <v>18</v>
      </c>
      <c r="C70" s="8" t="inlineStr">
        <is>
          <t>6ª Fase</t>
        </is>
      </c>
      <c r="D70" s="8" t="inlineStr">
        <is>
          <t>E</t>
        </is>
      </c>
      <c r="E70" s="8" t="n">
        <v>27</v>
      </c>
      <c r="F70" s="8" t="n">
        <v>4</v>
      </c>
      <c r="G70" s="9">
        <f>IF(E70=0,"",F70/E70)</f>
        <v/>
      </c>
      <c r="H70" s="7" t="inlineStr">
        <is>
          <t>OK</t>
        </is>
      </c>
    </row>
    <row r="71">
      <c r="A71" s="10" t="inlineStr">
        <is>
          <t>Simulado 01</t>
        </is>
      </c>
      <c r="B71" s="11" t="n">
        <v>18</v>
      </c>
      <c r="C71" s="11" t="inlineStr">
        <is>
          <t>7ª Fase</t>
        </is>
      </c>
      <c r="D71" s="11" t="inlineStr">
        <is>
          <t>E</t>
        </is>
      </c>
      <c r="E71" s="11" t="n">
        <v>33</v>
      </c>
      <c r="F71" s="11" t="n">
        <v>4</v>
      </c>
      <c r="G71" s="12">
        <f>IF(E71=0,"",F71/E71)</f>
        <v/>
      </c>
      <c r="H71" s="10" t="inlineStr">
        <is>
          <t>OK</t>
        </is>
      </c>
    </row>
    <row r="72">
      <c r="A72" s="7" t="inlineStr">
        <is>
          <t>Simulado 01</t>
        </is>
      </c>
      <c r="B72" s="8" t="n">
        <v>18</v>
      </c>
      <c r="C72" s="8" t="inlineStr">
        <is>
          <t>10ª Fase</t>
        </is>
      </c>
      <c r="D72" s="8" t="inlineStr">
        <is>
          <t>E</t>
        </is>
      </c>
      <c r="E72" s="8" t="n">
        <v>31</v>
      </c>
      <c r="F72" s="8" t="n">
        <v>12</v>
      </c>
      <c r="G72" s="9">
        <f>IF(E72=0,"",F72/E72)</f>
        <v/>
      </c>
      <c r="H72" s="7" t="inlineStr">
        <is>
          <t>OK</t>
        </is>
      </c>
    </row>
    <row r="73">
      <c r="A73" s="10" t="inlineStr">
        <is>
          <t>Simulado 01</t>
        </is>
      </c>
      <c r="B73" s="11" t="n">
        <v>18</v>
      </c>
      <c r="C73" s="11" t="inlineStr">
        <is>
          <t>11ª Fase</t>
        </is>
      </c>
      <c r="D73" s="11" t="inlineStr">
        <is>
          <t>E</t>
        </is>
      </c>
      <c r="E73" s="11" t="n">
        <v>27</v>
      </c>
      <c r="F73" s="11" t="n">
        <v>10</v>
      </c>
      <c r="G73" s="12">
        <f>IF(E73=0,"",F73/E73)</f>
        <v/>
      </c>
      <c r="H73" s="10" t="inlineStr">
        <is>
          <t>OK</t>
        </is>
      </c>
    </row>
    <row r="74">
      <c r="A74" s="7" t="inlineStr">
        <is>
          <t>Simulado 01</t>
        </is>
      </c>
      <c r="B74" s="8" t="n">
        <v>19</v>
      </c>
      <c r="C74" s="8" t="inlineStr">
        <is>
          <t>6ª Fase</t>
        </is>
      </c>
      <c r="D74" s="8" t="inlineStr">
        <is>
          <t>E</t>
        </is>
      </c>
      <c r="E74" s="8" t="n">
        <v>27</v>
      </c>
      <c r="F74" s="8" t="n">
        <v>20</v>
      </c>
      <c r="G74" s="9">
        <f>IF(E74=0,"",F74/E74)</f>
        <v/>
      </c>
      <c r="H74" s="7" t="inlineStr">
        <is>
          <t>OK</t>
        </is>
      </c>
    </row>
    <row r="75">
      <c r="A75" s="10" t="inlineStr">
        <is>
          <t>Simulado 01</t>
        </is>
      </c>
      <c r="B75" s="11" t="n">
        <v>19</v>
      </c>
      <c r="C75" s="11" t="inlineStr">
        <is>
          <t>7ª Fase</t>
        </is>
      </c>
      <c r="D75" s="11" t="inlineStr">
        <is>
          <t>E</t>
        </is>
      </c>
      <c r="E75" s="11" t="n">
        <v>33</v>
      </c>
      <c r="F75" s="11" t="n">
        <v>32</v>
      </c>
      <c r="G75" s="12">
        <f>IF(E75=0,"",F75/E75)</f>
        <v/>
      </c>
      <c r="H75" s="10" t="inlineStr">
        <is>
          <t>OK</t>
        </is>
      </c>
    </row>
    <row r="76">
      <c r="A76" s="7" t="inlineStr">
        <is>
          <t>Simulado 01</t>
        </is>
      </c>
      <c r="B76" s="8" t="n">
        <v>19</v>
      </c>
      <c r="C76" s="8" t="inlineStr">
        <is>
          <t>10ª Fase</t>
        </is>
      </c>
      <c r="D76" s="8" t="inlineStr">
        <is>
          <t>E</t>
        </is>
      </c>
      <c r="E76" s="8" t="n">
        <v>31</v>
      </c>
      <c r="F76" s="8" t="n">
        <v>24</v>
      </c>
      <c r="G76" s="9">
        <f>IF(E76=0,"",F76/E76)</f>
        <v/>
      </c>
      <c r="H76" s="7" t="inlineStr">
        <is>
          <t>OK</t>
        </is>
      </c>
    </row>
    <row r="77">
      <c r="A77" s="10" t="inlineStr">
        <is>
          <t>Simulado 01</t>
        </is>
      </c>
      <c r="B77" s="11" t="n">
        <v>19</v>
      </c>
      <c r="C77" s="11" t="inlineStr">
        <is>
          <t>11ª Fase</t>
        </is>
      </c>
      <c r="D77" s="11" t="inlineStr">
        <is>
          <t>E</t>
        </is>
      </c>
      <c r="E77" s="11" t="n">
        <v>27</v>
      </c>
      <c r="F77" s="11" t="n">
        <v>22</v>
      </c>
      <c r="G77" s="12">
        <f>IF(E77=0,"",F77/E77)</f>
        <v/>
      </c>
      <c r="H77" s="10" t="inlineStr">
        <is>
          <t>OK</t>
        </is>
      </c>
    </row>
    <row r="78">
      <c r="A78" s="7" t="inlineStr">
        <is>
          <t>Simulado 01</t>
        </is>
      </c>
      <c r="B78" s="8" t="n">
        <v>20</v>
      </c>
      <c r="C78" s="8" t="inlineStr">
        <is>
          <t>6ª Fase</t>
        </is>
      </c>
      <c r="D78" s="8" t="inlineStr">
        <is>
          <t>B</t>
        </is>
      </c>
      <c r="E78" s="8" t="n">
        <v>27</v>
      </c>
      <c r="F78" s="8" t="n">
        <v>3</v>
      </c>
      <c r="G78" s="9">
        <f>IF(E78=0,"",F78/E78)</f>
        <v/>
      </c>
      <c r="H78" s="7" t="inlineStr">
        <is>
          <t>OK</t>
        </is>
      </c>
    </row>
    <row r="79">
      <c r="A79" s="10" t="inlineStr">
        <is>
          <t>Simulado 01</t>
        </is>
      </c>
      <c r="B79" s="11" t="n">
        <v>20</v>
      </c>
      <c r="C79" s="11" t="inlineStr">
        <is>
          <t>7ª Fase</t>
        </is>
      </c>
      <c r="D79" s="11" t="inlineStr">
        <is>
          <t>B</t>
        </is>
      </c>
      <c r="E79" s="11" t="n">
        <v>33</v>
      </c>
      <c r="F79" s="11" t="n">
        <v>1</v>
      </c>
      <c r="G79" s="12">
        <f>IF(E79=0,"",F79/E79)</f>
        <v/>
      </c>
      <c r="H79" s="10" t="inlineStr">
        <is>
          <t>OK</t>
        </is>
      </c>
    </row>
    <row r="80">
      <c r="A80" s="7" t="inlineStr">
        <is>
          <t>Simulado 01</t>
        </is>
      </c>
      <c r="B80" s="8" t="n">
        <v>20</v>
      </c>
      <c r="C80" s="8" t="inlineStr">
        <is>
          <t>10ª Fase</t>
        </is>
      </c>
      <c r="D80" s="8" t="inlineStr">
        <is>
          <t>B</t>
        </is>
      </c>
      <c r="E80" s="8" t="n">
        <v>31</v>
      </c>
      <c r="F80" s="8" t="n">
        <v>1</v>
      </c>
      <c r="G80" s="9">
        <f>IF(E80=0,"",F80/E80)</f>
        <v/>
      </c>
      <c r="H80" s="7" t="inlineStr">
        <is>
          <t>OK</t>
        </is>
      </c>
    </row>
    <row r="81">
      <c r="A81" s="10" t="inlineStr">
        <is>
          <t>Simulado 01</t>
        </is>
      </c>
      <c r="B81" s="11" t="n">
        <v>20</v>
      </c>
      <c r="C81" s="11" t="inlineStr">
        <is>
          <t>11ª Fase</t>
        </is>
      </c>
      <c r="D81" s="11" t="inlineStr">
        <is>
          <t>B</t>
        </is>
      </c>
      <c r="E81" s="11" t="n">
        <v>27</v>
      </c>
      <c r="F81" s="11" t="n">
        <v>1</v>
      </c>
      <c r="G81" s="12">
        <f>IF(E81=0,"",F81/E81)</f>
        <v/>
      </c>
      <c r="H81" s="10" t="inlineStr">
        <is>
          <t>OK</t>
        </is>
      </c>
    </row>
    <row r="82">
      <c r="A82" s="7" t="inlineStr">
        <is>
          <t>Simulado 01</t>
        </is>
      </c>
      <c r="B82" s="8" t="n">
        <v>21</v>
      </c>
      <c r="C82" s="8" t="inlineStr">
        <is>
          <t>6ª Fase</t>
        </is>
      </c>
      <c r="D82" s="8" t="inlineStr">
        <is>
          <t>A</t>
        </is>
      </c>
      <c r="E82" s="8" t="n">
        <v>27</v>
      </c>
      <c r="F82" s="8" t="n">
        <v>22</v>
      </c>
      <c r="G82" s="9">
        <f>IF(E82=0,"",F82/E82)</f>
        <v/>
      </c>
      <c r="H82" s="7" t="inlineStr">
        <is>
          <t>OK</t>
        </is>
      </c>
    </row>
    <row r="83">
      <c r="A83" s="10" t="inlineStr">
        <is>
          <t>Simulado 01</t>
        </is>
      </c>
      <c r="B83" s="11" t="n">
        <v>21</v>
      </c>
      <c r="C83" s="11" t="inlineStr">
        <is>
          <t>7ª Fase</t>
        </is>
      </c>
      <c r="D83" s="11" t="inlineStr">
        <is>
          <t>A</t>
        </is>
      </c>
      <c r="E83" s="11" t="n">
        <v>33</v>
      </c>
      <c r="F83" s="11" t="n">
        <v>28</v>
      </c>
      <c r="G83" s="12">
        <f>IF(E83=0,"",F83/E83)</f>
        <v/>
      </c>
      <c r="H83" s="10" t="inlineStr">
        <is>
          <t>OK</t>
        </is>
      </c>
    </row>
    <row r="84">
      <c r="A84" s="7" t="inlineStr">
        <is>
          <t>Simulado 01</t>
        </is>
      </c>
      <c r="B84" s="8" t="n">
        <v>21</v>
      </c>
      <c r="C84" s="8" t="inlineStr">
        <is>
          <t>10ª Fase</t>
        </is>
      </c>
      <c r="D84" s="8" t="inlineStr">
        <is>
          <t>A</t>
        </is>
      </c>
      <c r="E84" s="8" t="n">
        <v>31</v>
      </c>
      <c r="F84" s="8" t="n">
        <v>28</v>
      </c>
      <c r="G84" s="9">
        <f>IF(E84=0,"",F84/E84)</f>
        <v/>
      </c>
      <c r="H84" s="7" t="inlineStr">
        <is>
          <t>OK</t>
        </is>
      </c>
    </row>
    <row r="85">
      <c r="A85" s="10" t="inlineStr">
        <is>
          <t>Simulado 01</t>
        </is>
      </c>
      <c r="B85" s="11" t="n">
        <v>21</v>
      </c>
      <c r="C85" s="11" t="inlineStr">
        <is>
          <t>11ª Fase</t>
        </is>
      </c>
      <c r="D85" s="11" t="inlineStr">
        <is>
          <t>A</t>
        </is>
      </c>
      <c r="E85" s="11" t="n">
        <v>27</v>
      </c>
      <c r="F85" s="11" t="n">
        <v>26</v>
      </c>
      <c r="G85" s="12">
        <f>IF(E85=0,"",F85/E85)</f>
        <v/>
      </c>
      <c r="H85" s="10" t="inlineStr">
        <is>
          <t>OK</t>
        </is>
      </c>
    </row>
    <row r="86">
      <c r="A86" s="7" t="inlineStr">
        <is>
          <t>Simulado 01</t>
        </is>
      </c>
      <c r="B86" s="8" t="n">
        <v>22</v>
      </c>
      <c r="C86" s="8" t="inlineStr">
        <is>
          <t>6ª Fase</t>
        </is>
      </c>
      <c r="D86" s="8" t="inlineStr">
        <is>
          <t>B</t>
        </is>
      </c>
      <c r="E86" s="8" t="n">
        <v>27</v>
      </c>
      <c r="F86" s="8" t="n">
        <v>20</v>
      </c>
      <c r="G86" s="9">
        <f>IF(E86=0,"",F86/E86)</f>
        <v/>
      </c>
      <c r="H86" s="7" t="inlineStr">
        <is>
          <t>OK</t>
        </is>
      </c>
    </row>
    <row r="87">
      <c r="A87" s="10" t="inlineStr">
        <is>
          <t>Simulado 01</t>
        </is>
      </c>
      <c r="B87" s="11" t="n">
        <v>22</v>
      </c>
      <c r="C87" s="11" t="inlineStr">
        <is>
          <t>7ª Fase</t>
        </is>
      </c>
      <c r="D87" s="11" t="inlineStr">
        <is>
          <t>B</t>
        </is>
      </c>
      <c r="E87" s="11" t="n">
        <v>33</v>
      </c>
      <c r="F87" s="11" t="n">
        <v>27</v>
      </c>
      <c r="G87" s="12">
        <f>IF(E87=0,"",F87/E87)</f>
        <v/>
      </c>
      <c r="H87" s="10" t="inlineStr">
        <is>
          <t>OK</t>
        </is>
      </c>
    </row>
    <row r="88">
      <c r="A88" s="7" t="inlineStr">
        <is>
          <t>Simulado 01</t>
        </is>
      </c>
      <c r="B88" s="8" t="n">
        <v>22</v>
      </c>
      <c r="C88" s="8" t="inlineStr">
        <is>
          <t>10ª Fase</t>
        </is>
      </c>
      <c r="D88" s="8" t="inlineStr">
        <is>
          <t>B</t>
        </is>
      </c>
      <c r="E88" s="8" t="n">
        <v>31</v>
      </c>
      <c r="F88" s="8" t="n">
        <v>28</v>
      </c>
      <c r="G88" s="9">
        <f>IF(E88=0,"",F88/E88)</f>
        <v/>
      </c>
      <c r="H88" s="7" t="inlineStr">
        <is>
          <t>OK</t>
        </is>
      </c>
    </row>
    <row r="89">
      <c r="A89" s="10" t="inlineStr">
        <is>
          <t>Simulado 01</t>
        </is>
      </c>
      <c r="B89" s="11" t="n">
        <v>22</v>
      </c>
      <c r="C89" s="11" t="inlineStr">
        <is>
          <t>11ª Fase</t>
        </is>
      </c>
      <c r="D89" s="11" t="inlineStr">
        <is>
          <t>B</t>
        </is>
      </c>
      <c r="E89" s="11" t="n">
        <v>27</v>
      </c>
      <c r="F89" s="11" t="n">
        <v>23</v>
      </c>
      <c r="G89" s="12">
        <f>IF(E89=0,"",F89/E89)</f>
        <v/>
      </c>
      <c r="H89" s="10" t="inlineStr">
        <is>
          <t>OK</t>
        </is>
      </c>
    </row>
    <row r="90">
      <c r="A90" s="7" t="inlineStr">
        <is>
          <t>Simulado 01</t>
        </is>
      </c>
      <c r="B90" s="8" t="n">
        <v>23</v>
      </c>
      <c r="C90" s="8" t="inlineStr">
        <is>
          <t>6ª Fase</t>
        </is>
      </c>
      <c r="D90" s="8" t="inlineStr">
        <is>
          <t>D</t>
        </is>
      </c>
      <c r="E90" s="8" t="n">
        <v>27</v>
      </c>
      <c r="F90" s="8" t="n">
        <v>14</v>
      </c>
      <c r="G90" s="9">
        <f>IF(E90=0,"",F90/E90)</f>
        <v/>
      </c>
      <c r="H90" s="7" t="inlineStr">
        <is>
          <t>OK</t>
        </is>
      </c>
    </row>
    <row r="91">
      <c r="A91" s="10" t="inlineStr">
        <is>
          <t>Simulado 01</t>
        </is>
      </c>
      <c r="B91" s="11" t="n">
        <v>23</v>
      </c>
      <c r="C91" s="11" t="inlineStr">
        <is>
          <t>7ª Fase</t>
        </is>
      </c>
      <c r="D91" s="11" t="inlineStr">
        <is>
          <t>D</t>
        </is>
      </c>
      <c r="E91" s="11" t="n">
        <v>33</v>
      </c>
      <c r="F91" s="11" t="n">
        <v>16</v>
      </c>
      <c r="G91" s="12">
        <f>IF(E91=0,"",F91/E91)</f>
        <v/>
      </c>
      <c r="H91" s="10" t="inlineStr">
        <is>
          <t>OK</t>
        </is>
      </c>
    </row>
    <row r="92">
      <c r="A92" s="7" t="inlineStr">
        <is>
          <t>Simulado 01</t>
        </is>
      </c>
      <c r="B92" s="8" t="n">
        <v>23</v>
      </c>
      <c r="C92" s="8" t="inlineStr">
        <is>
          <t>10ª Fase</t>
        </is>
      </c>
      <c r="D92" s="8" t="inlineStr">
        <is>
          <t>D</t>
        </is>
      </c>
      <c r="E92" s="8" t="n">
        <v>31</v>
      </c>
      <c r="F92" s="8" t="n">
        <v>29</v>
      </c>
      <c r="G92" s="9">
        <f>IF(E92=0,"",F92/E92)</f>
        <v/>
      </c>
      <c r="H92" s="7" t="inlineStr">
        <is>
          <t>OK</t>
        </is>
      </c>
    </row>
    <row r="93">
      <c r="A93" s="10" t="inlineStr">
        <is>
          <t>Simulado 01</t>
        </is>
      </c>
      <c r="B93" s="11" t="n">
        <v>23</v>
      </c>
      <c r="C93" s="11" t="inlineStr">
        <is>
          <t>11ª Fase</t>
        </is>
      </c>
      <c r="D93" s="11" t="inlineStr">
        <is>
          <t>D</t>
        </is>
      </c>
      <c r="E93" s="11" t="n">
        <v>27</v>
      </c>
      <c r="F93" s="11" t="n">
        <v>21</v>
      </c>
      <c r="G93" s="12">
        <f>IF(E93=0,"",F93/E93)</f>
        <v/>
      </c>
      <c r="H93" s="10" t="inlineStr">
        <is>
          <t>OK</t>
        </is>
      </c>
    </row>
    <row r="94">
      <c r="A94" s="13" t="inlineStr">
        <is>
          <t>Simulado 01</t>
        </is>
      </c>
      <c r="B94" s="14" t="n">
        <v>24</v>
      </c>
      <c r="C94" s="14" t="inlineStr">
        <is>
          <t>6ª Fase</t>
        </is>
      </c>
      <c r="D94" s="14" t="inlineStr">
        <is>
          <t>A</t>
        </is>
      </c>
      <c r="E94" s="14" t="n"/>
      <c r="F94" s="14" t="n"/>
      <c r="G94" s="15" t="n"/>
      <c r="H94" s="13" t="inlineStr">
        <is>
          <t>ANULADA - sem dados no dashboard</t>
        </is>
      </c>
    </row>
    <row r="95">
      <c r="A95" s="13" t="inlineStr">
        <is>
          <t>Simulado 01</t>
        </is>
      </c>
      <c r="B95" s="14" t="n">
        <v>24</v>
      </c>
      <c r="C95" s="14" t="inlineStr">
        <is>
          <t>7ª Fase</t>
        </is>
      </c>
      <c r="D95" s="14" t="inlineStr">
        <is>
          <t>A</t>
        </is>
      </c>
      <c r="E95" s="14" t="n"/>
      <c r="F95" s="14" t="n"/>
      <c r="G95" s="15" t="n"/>
      <c r="H95" s="13" t="inlineStr">
        <is>
          <t>ANULADA - sem dados no dashboard</t>
        </is>
      </c>
    </row>
    <row r="96">
      <c r="A96" s="13" t="inlineStr">
        <is>
          <t>Simulado 01</t>
        </is>
      </c>
      <c r="B96" s="14" t="n">
        <v>24</v>
      </c>
      <c r="C96" s="14" t="inlineStr">
        <is>
          <t>10ª Fase</t>
        </is>
      </c>
      <c r="D96" s="14" t="inlineStr">
        <is>
          <t>A</t>
        </is>
      </c>
      <c r="E96" s="14" t="n"/>
      <c r="F96" s="14" t="n"/>
      <c r="G96" s="15" t="n"/>
      <c r="H96" s="13" t="inlineStr">
        <is>
          <t>ANULADA - sem dados no dashboard</t>
        </is>
      </c>
    </row>
    <row r="97">
      <c r="A97" s="13" t="inlineStr">
        <is>
          <t>Simulado 01</t>
        </is>
      </c>
      <c r="B97" s="14" t="n">
        <v>24</v>
      </c>
      <c r="C97" s="14" t="inlineStr">
        <is>
          <t>11ª Fase</t>
        </is>
      </c>
      <c r="D97" s="14" t="inlineStr">
        <is>
          <t>A</t>
        </is>
      </c>
      <c r="E97" s="14" t="n"/>
      <c r="F97" s="14" t="n"/>
      <c r="G97" s="15" t="n"/>
      <c r="H97" s="13" t="inlineStr">
        <is>
          <t>ANULADA - sem dados no dashboard</t>
        </is>
      </c>
    </row>
    <row r="98">
      <c r="A98" s="7" t="inlineStr">
        <is>
          <t>Simulado 01</t>
        </is>
      </c>
      <c r="B98" s="8" t="n">
        <v>25</v>
      </c>
      <c r="C98" s="8" t="inlineStr">
        <is>
          <t>6ª Fase</t>
        </is>
      </c>
      <c r="D98" s="8" t="inlineStr">
        <is>
          <t>E</t>
        </is>
      </c>
      <c r="E98" s="8" t="n">
        <v>27</v>
      </c>
      <c r="F98" s="8" t="n">
        <v>14</v>
      </c>
      <c r="G98" s="9">
        <f>IF(E98=0,"",F98/E98)</f>
        <v/>
      </c>
      <c r="H98" s="7" t="inlineStr">
        <is>
          <t>OK</t>
        </is>
      </c>
    </row>
    <row r="99">
      <c r="A99" s="10" t="inlineStr">
        <is>
          <t>Simulado 01</t>
        </is>
      </c>
      <c r="B99" s="11" t="n">
        <v>25</v>
      </c>
      <c r="C99" s="11" t="inlineStr">
        <is>
          <t>7ª Fase</t>
        </is>
      </c>
      <c r="D99" s="11" t="inlineStr">
        <is>
          <t>E</t>
        </is>
      </c>
      <c r="E99" s="11" t="n">
        <v>33</v>
      </c>
      <c r="F99" s="11" t="n">
        <v>19</v>
      </c>
      <c r="G99" s="12">
        <f>IF(E99=0,"",F99/E99)</f>
        <v/>
      </c>
      <c r="H99" s="10" t="inlineStr">
        <is>
          <t>OK</t>
        </is>
      </c>
    </row>
    <row r="100">
      <c r="A100" s="7" t="inlineStr">
        <is>
          <t>Simulado 01</t>
        </is>
      </c>
      <c r="B100" s="8" t="n">
        <v>25</v>
      </c>
      <c r="C100" s="8" t="inlineStr">
        <is>
          <t>10ª Fase</t>
        </is>
      </c>
      <c r="D100" s="8" t="inlineStr">
        <is>
          <t>E</t>
        </is>
      </c>
      <c r="E100" s="8" t="n">
        <v>31</v>
      </c>
      <c r="F100" s="8" t="n">
        <v>19</v>
      </c>
      <c r="G100" s="9">
        <f>IF(E100=0,"",F100/E100)</f>
        <v/>
      </c>
      <c r="H100" s="7" t="inlineStr">
        <is>
          <t>OK</t>
        </is>
      </c>
    </row>
    <row r="101">
      <c r="A101" s="10" t="inlineStr">
        <is>
          <t>Simulado 01</t>
        </is>
      </c>
      <c r="B101" s="11" t="n">
        <v>25</v>
      </c>
      <c r="C101" s="11" t="inlineStr">
        <is>
          <t>11ª Fase</t>
        </is>
      </c>
      <c r="D101" s="11" t="inlineStr">
        <is>
          <t>E</t>
        </is>
      </c>
      <c r="E101" s="11" t="n">
        <v>27</v>
      </c>
      <c r="F101" s="11" t="n">
        <v>16</v>
      </c>
      <c r="G101" s="12">
        <f>IF(E101=0,"",F101/E101)</f>
        <v/>
      </c>
      <c r="H101" s="10" t="inlineStr">
        <is>
          <t>OK</t>
        </is>
      </c>
    </row>
    <row r="102">
      <c r="A102" s="7" t="inlineStr">
        <is>
          <t>Simulado 01</t>
        </is>
      </c>
      <c r="B102" s="8" t="n">
        <v>26</v>
      </c>
      <c r="C102" s="8" t="inlineStr">
        <is>
          <t>6ª Fase</t>
        </is>
      </c>
      <c r="D102" s="8" t="inlineStr">
        <is>
          <t>D</t>
        </is>
      </c>
      <c r="E102" s="8" t="n">
        <v>27</v>
      </c>
      <c r="F102" s="8" t="n">
        <v>19</v>
      </c>
      <c r="G102" s="9">
        <f>IF(E102=0,"",F102/E102)</f>
        <v/>
      </c>
      <c r="H102" s="7" t="inlineStr">
        <is>
          <t>OK</t>
        </is>
      </c>
    </row>
    <row r="103">
      <c r="A103" s="10" t="inlineStr">
        <is>
          <t>Simulado 01</t>
        </is>
      </c>
      <c r="B103" s="11" t="n">
        <v>26</v>
      </c>
      <c r="C103" s="11" t="inlineStr">
        <is>
          <t>7ª Fase</t>
        </is>
      </c>
      <c r="D103" s="11" t="inlineStr">
        <is>
          <t>D</t>
        </is>
      </c>
      <c r="E103" s="11" t="n">
        <v>33</v>
      </c>
      <c r="F103" s="11" t="n">
        <v>25</v>
      </c>
      <c r="G103" s="12">
        <f>IF(E103=0,"",F103/E103)</f>
        <v/>
      </c>
      <c r="H103" s="10" t="inlineStr">
        <is>
          <t>OK</t>
        </is>
      </c>
    </row>
    <row r="104">
      <c r="A104" s="7" t="inlineStr">
        <is>
          <t>Simulado 01</t>
        </is>
      </c>
      <c r="B104" s="8" t="n">
        <v>26</v>
      </c>
      <c r="C104" s="8" t="inlineStr">
        <is>
          <t>10ª Fase</t>
        </is>
      </c>
      <c r="D104" s="8" t="inlineStr">
        <is>
          <t>D</t>
        </is>
      </c>
      <c r="E104" s="8" t="n">
        <v>31</v>
      </c>
      <c r="F104" s="8" t="n">
        <v>24</v>
      </c>
      <c r="G104" s="9">
        <f>IF(E104=0,"",F104/E104)</f>
        <v/>
      </c>
      <c r="H104" s="7" t="inlineStr">
        <is>
          <t>OK</t>
        </is>
      </c>
    </row>
    <row r="105">
      <c r="A105" s="10" t="inlineStr">
        <is>
          <t>Simulado 01</t>
        </is>
      </c>
      <c r="B105" s="11" t="n">
        <v>26</v>
      </c>
      <c r="C105" s="11" t="inlineStr">
        <is>
          <t>11ª Fase</t>
        </is>
      </c>
      <c r="D105" s="11" t="inlineStr">
        <is>
          <t>D</t>
        </is>
      </c>
      <c r="E105" s="11" t="n">
        <v>27</v>
      </c>
      <c r="F105" s="11" t="n">
        <v>23</v>
      </c>
      <c r="G105" s="12">
        <f>IF(E105=0,"",F105/E105)</f>
        <v/>
      </c>
      <c r="H105" s="10" t="inlineStr">
        <is>
          <t>OK</t>
        </is>
      </c>
    </row>
    <row r="106">
      <c r="A106" s="7" t="inlineStr">
        <is>
          <t>Simulado 01</t>
        </is>
      </c>
      <c r="B106" s="8" t="n">
        <v>27</v>
      </c>
      <c r="C106" s="8" t="inlineStr">
        <is>
          <t>6ª Fase</t>
        </is>
      </c>
      <c r="D106" s="8" t="inlineStr">
        <is>
          <t>E</t>
        </is>
      </c>
      <c r="E106" s="8" t="n">
        <v>27</v>
      </c>
      <c r="F106" s="8" t="n">
        <v>9</v>
      </c>
      <c r="G106" s="9">
        <f>IF(E106=0,"",F106/E106)</f>
        <v/>
      </c>
      <c r="H106" s="7" t="inlineStr">
        <is>
          <t>OK</t>
        </is>
      </c>
    </row>
    <row r="107">
      <c r="A107" s="10" t="inlineStr">
        <is>
          <t>Simulado 01</t>
        </is>
      </c>
      <c r="B107" s="11" t="n">
        <v>27</v>
      </c>
      <c r="C107" s="11" t="inlineStr">
        <is>
          <t>7ª Fase</t>
        </is>
      </c>
      <c r="D107" s="11" t="inlineStr">
        <is>
          <t>E</t>
        </is>
      </c>
      <c r="E107" s="11" t="n">
        <v>33</v>
      </c>
      <c r="F107" s="11" t="n">
        <v>16</v>
      </c>
      <c r="G107" s="12">
        <f>IF(E107=0,"",F107/E107)</f>
        <v/>
      </c>
      <c r="H107" s="10" t="inlineStr">
        <is>
          <t>OK</t>
        </is>
      </c>
    </row>
    <row r="108">
      <c r="A108" s="7" t="inlineStr">
        <is>
          <t>Simulado 01</t>
        </is>
      </c>
      <c r="B108" s="8" t="n">
        <v>27</v>
      </c>
      <c r="C108" s="8" t="inlineStr">
        <is>
          <t>10ª Fase</t>
        </is>
      </c>
      <c r="D108" s="8" t="inlineStr">
        <is>
          <t>E</t>
        </is>
      </c>
      <c r="E108" s="8" t="n">
        <v>31</v>
      </c>
      <c r="F108" s="8" t="n">
        <v>17</v>
      </c>
      <c r="G108" s="9">
        <f>IF(E108=0,"",F108/E108)</f>
        <v/>
      </c>
      <c r="H108" s="7" t="inlineStr">
        <is>
          <t>OK</t>
        </is>
      </c>
    </row>
    <row r="109">
      <c r="A109" s="10" t="inlineStr">
        <is>
          <t>Simulado 01</t>
        </is>
      </c>
      <c r="B109" s="11" t="n">
        <v>27</v>
      </c>
      <c r="C109" s="11" t="inlineStr">
        <is>
          <t>11ª Fase</t>
        </is>
      </c>
      <c r="D109" s="11" t="inlineStr">
        <is>
          <t>E</t>
        </is>
      </c>
      <c r="E109" s="11" t="n">
        <v>27</v>
      </c>
      <c r="F109" s="11" t="n">
        <v>12</v>
      </c>
      <c r="G109" s="12">
        <f>IF(E109=0,"",F109/E109)</f>
        <v/>
      </c>
      <c r="H109" s="10" t="inlineStr">
        <is>
          <t>OK</t>
        </is>
      </c>
    </row>
    <row r="110">
      <c r="A110" s="7" t="inlineStr">
        <is>
          <t>Simulado 01</t>
        </is>
      </c>
      <c r="B110" s="8" t="n">
        <v>28</v>
      </c>
      <c r="C110" s="8" t="inlineStr">
        <is>
          <t>6ª Fase</t>
        </is>
      </c>
      <c r="D110" s="8" t="inlineStr">
        <is>
          <t>D</t>
        </is>
      </c>
      <c r="E110" s="8" t="n">
        <v>27</v>
      </c>
      <c r="F110" s="8" t="n">
        <v>25</v>
      </c>
      <c r="G110" s="9">
        <f>IF(E110=0,"",F110/E110)</f>
        <v/>
      </c>
      <c r="H110" s="7" t="inlineStr">
        <is>
          <t>OK</t>
        </is>
      </c>
    </row>
    <row r="111">
      <c r="A111" s="10" t="inlineStr">
        <is>
          <t>Simulado 01</t>
        </is>
      </c>
      <c r="B111" s="11" t="n">
        <v>28</v>
      </c>
      <c r="C111" s="11" t="inlineStr">
        <is>
          <t>7ª Fase</t>
        </is>
      </c>
      <c r="D111" s="11" t="inlineStr">
        <is>
          <t>D</t>
        </is>
      </c>
      <c r="E111" s="11" t="n">
        <v>33</v>
      </c>
      <c r="F111" s="11" t="n">
        <v>31</v>
      </c>
      <c r="G111" s="12">
        <f>IF(E111=0,"",F111/E111)</f>
        <v/>
      </c>
      <c r="H111" s="10" t="inlineStr">
        <is>
          <t>OK</t>
        </is>
      </c>
    </row>
    <row r="112">
      <c r="A112" s="7" t="inlineStr">
        <is>
          <t>Simulado 01</t>
        </is>
      </c>
      <c r="B112" s="8" t="n">
        <v>28</v>
      </c>
      <c r="C112" s="8" t="inlineStr">
        <is>
          <t>10ª Fase</t>
        </is>
      </c>
      <c r="D112" s="8" t="inlineStr">
        <is>
          <t>D</t>
        </is>
      </c>
      <c r="E112" s="8" t="n">
        <v>31</v>
      </c>
      <c r="F112" s="8" t="n">
        <v>31</v>
      </c>
      <c r="G112" s="9">
        <f>IF(E112=0,"",F112/E112)</f>
        <v/>
      </c>
      <c r="H112" s="7" t="inlineStr">
        <is>
          <t>OK</t>
        </is>
      </c>
    </row>
    <row r="113">
      <c r="A113" s="10" t="inlineStr">
        <is>
          <t>Simulado 01</t>
        </is>
      </c>
      <c r="B113" s="11" t="n">
        <v>28</v>
      </c>
      <c r="C113" s="11" t="inlineStr">
        <is>
          <t>11ª Fase</t>
        </is>
      </c>
      <c r="D113" s="11" t="inlineStr">
        <is>
          <t>D</t>
        </is>
      </c>
      <c r="E113" s="11" t="n">
        <v>27</v>
      </c>
      <c r="F113" s="11" t="n">
        <v>26</v>
      </c>
      <c r="G113" s="12">
        <f>IF(E113=0,"",F113/E113)</f>
        <v/>
      </c>
      <c r="H113" s="10" t="inlineStr">
        <is>
          <t>OK</t>
        </is>
      </c>
    </row>
    <row r="114">
      <c r="A114" s="7" t="inlineStr">
        <is>
          <t>Simulado 01</t>
        </is>
      </c>
      <c r="B114" s="8" t="n">
        <v>29</v>
      </c>
      <c r="C114" s="8" t="inlineStr">
        <is>
          <t>6ª Fase</t>
        </is>
      </c>
      <c r="D114" s="8" t="inlineStr">
        <is>
          <t>D</t>
        </is>
      </c>
      <c r="E114" s="8" t="n">
        <v>27</v>
      </c>
      <c r="F114" s="8" t="n">
        <v>26</v>
      </c>
      <c r="G114" s="9">
        <f>IF(E114=0,"",F114/E114)</f>
        <v/>
      </c>
      <c r="H114" s="7" t="inlineStr">
        <is>
          <t>OK</t>
        </is>
      </c>
    </row>
    <row r="115">
      <c r="A115" s="10" t="inlineStr">
        <is>
          <t>Simulado 01</t>
        </is>
      </c>
      <c r="B115" s="11" t="n">
        <v>29</v>
      </c>
      <c r="C115" s="11" t="inlineStr">
        <is>
          <t>7ª Fase</t>
        </is>
      </c>
      <c r="D115" s="11" t="inlineStr">
        <is>
          <t>D</t>
        </is>
      </c>
      <c r="E115" s="11" t="n">
        <v>33</v>
      </c>
      <c r="F115" s="11" t="n">
        <v>29</v>
      </c>
      <c r="G115" s="12">
        <f>IF(E115=0,"",F115/E115)</f>
        <v/>
      </c>
      <c r="H115" s="10" t="inlineStr">
        <is>
          <t>OK</t>
        </is>
      </c>
    </row>
    <row r="116">
      <c r="A116" s="7" t="inlineStr">
        <is>
          <t>Simulado 01</t>
        </is>
      </c>
      <c r="B116" s="8" t="n">
        <v>29</v>
      </c>
      <c r="C116" s="8" t="inlineStr">
        <is>
          <t>10ª Fase</t>
        </is>
      </c>
      <c r="D116" s="8" t="inlineStr">
        <is>
          <t>D</t>
        </is>
      </c>
      <c r="E116" s="8" t="n">
        <v>31</v>
      </c>
      <c r="F116" s="8" t="n">
        <v>30</v>
      </c>
      <c r="G116" s="9">
        <f>IF(E116=0,"",F116/E116)</f>
        <v/>
      </c>
      <c r="H116" s="7" t="inlineStr">
        <is>
          <t>OK</t>
        </is>
      </c>
    </row>
    <row r="117">
      <c r="A117" s="10" t="inlineStr">
        <is>
          <t>Simulado 01</t>
        </is>
      </c>
      <c r="B117" s="11" t="n">
        <v>29</v>
      </c>
      <c r="C117" s="11" t="inlineStr">
        <is>
          <t>11ª Fase</t>
        </is>
      </c>
      <c r="D117" s="11" t="inlineStr">
        <is>
          <t>D</t>
        </is>
      </c>
      <c r="E117" s="11" t="n">
        <v>27</v>
      </c>
      <c r="F117" s="11" t="n">
        <v>26</v>
      </c>
      <c r="G117" s="12">
        <f>IF(E117=0,"",F117/E117)</f>
        <v/>
      </c>
      <c r="H117" s="10" t="inlineStr">
        <is>
          <t>OK</t>
        </is>
      </c>
    </row>
    <row r="118">
      <c r="A118" s="7" t="inlineStr">
        <is>
          <t>Simulado 01</t>
        </is>
      </c>
      <c r="B118" s="8" t="n">
        <v>30</v>
      </c>
      <c r="C118" s="8" t="inlineStr">
        <is>
          <t>6ª Fase</t>
        </is>
      </c>
      <c r="D118" s="8" t="inlineStr">
        <is>
          <t>C</t>
        </is>
      </c>
      <c r="E118" s="8" t="n">
        <v>27</v>
      </c>
      <c r="F118" s="8" t="n">
        <v>21</v>
      </c>
      <c r="G118" s="9">
        <f>IF(E118=0,"",F118/E118)</f>
        <v/>
      </c>
      <c r="H118" s="7" t="inlineStr">
        <is>
          <t>OK</t>
        </is>
      </c>
    </row>
    <row r="119">
      <c r="A119" s="10" t="inlineStr">
        <is>
          <t>Simulado 01</t>
        </is>
      </c>
      <c r="B119" s="11" t="n">
        <v>30</v>
      </c>
      <c r="C119" s="11" t="inlineStr">
        <is>
          <t>7ª Fase</t>
        </is>
      </c>
      <c r="D119" s="11" t="inlineStr">
        <is>
          <t>C</t>
        </is>
      </c>
      <c r="E119" s="11" t="n">
        <v>33</v>
      </c>
      <c r="F119" s="11" t="n">
        <v>23</v>
      </c>
      <c r="G119" s="12">
        <f>IF(E119=0,"",F119/E119)</f>
        <v/>
      </c>
      <c r="H119" s="10" t="inlineStr">
        <is>
          <t>OK</t>
        </is>
      </c>
    </row>
    <row r="120">
      <c r="A120" s="7" t="inlineStr">
        <is>
          <t>Simulado 01</t>
        </is>
      </c>
      <c r="B120" s="8" t="n">
        <v>30</v>
      </c>
      <c r="C120" s="8" t="inlineStr">
        <is>
          <t>10ª Fase</t>
        </is>
      </c>
      <c r="D120" s="8" t="inlineStr">
        <is>
          <t>C</t>
        </is>
      </c>
      <c r="E120" s="8" t="n">
        <v>31</v>
      </c>
      <c r="F120" s="8" t="n">
        <v>25</v>
      </c>
      <c r="G120" s="9">
        <f>IF(E120=0,"",F120/E120)</f>
        <v/>
      </c>
      <c r="H120" s="7" t="inlineStr">
        <is>
          <t>OK</t>
        </is>
      </c>
    </row>
    <row r="121">
      <c r="A121" s="10" t="inlineStr">
        <is>
          <t>Simulado 01</t>
        </is>
      </c>
      <c r="B121" s="11" t="n">
        <v>30</v>
      </c>
      <c r="C121" s="11" t="inlineStr">
        <is>
          <t>11ª Fase</t>
        </is>
      </c>
      <c r="D121" s="11" t="inlineStr">
        <is>
          <t>C</t>
        </is>
      </c>
      <c r="E121" s="11" t="n">
        <v>27</v>
      </c>
      <c r="F121" s="11" t="n">
        <v>24</v>
      </c>
      <c r="G121" s="12">
        <f>IF(E121=0,"",F121/E121)</f>
        <v/>
      </c>
      <c r="H121" s="10" t="inlineStr">
        <is>
          <t>OK</t>
        </is>
      </c>
    </row>
    <row r="122">
      <c r="A122" s="7" t="inlineStr">
        <is>
          <t>Simulado 01</t>
        </is>
      </c>
      <c r="B122" s="8" t="n">
        <v>31</v>
      </c>
      <c r="C122" s="8" t="inlineStr">
        <is>
          <t>6ª Fase</t>
        </is>
      </c>
      <c r="D122" s="8" t="inlineStr">
        <is>
          <t>A</t>
        </is>
      </c>
      <c r="E122" s="8" t="n">
        <v>27</v>
      </c>
      <c r="F122" s="8" t="n">
        <v>19</v>
      </c>
      <c r="G122" s="9">
        <f>IF(E122=0,"",F122/E122)</f>
        <v/>
      </c>
      <c r="H122" s="7" t="inlineStr">
        <is>
          <t>OK</t>
        </is>
      </c>
    </row>
    <row r="123">
      <c r="A123" s="10" t="inlineStr">
        <is>
          <t>Simulado 01</t>
        </is>
      </c>
      <c r="B123" s="11" t="n">
        <v>31</v>
      </c>
      <c r="C123" s="11" t="inlineStr">
        <is>
          <t>7ª Fase</t>
        </is>
      </c>
      <c r="D123" s="11" t="inlineStr">
        <is>
          <t>A</t>
        </is>
      </c>
      <c r="E123" s="11" t="n">
        <v>33</v>
      </c>
      <c r="F123" s="11" t="n">
        <v>22</v>
      </c>
      <c r="G123" s="12">
        <f>IF(E123=0,"",F123/E123)</f>
        <v/>
      </c>
      <c r="H123" s="10" t="inlineStr">
        <is>
          <t>OK</t>
        </is>
      </c>
    </row>
    <row r="124">
      <c r="A124" s="7" t="inlineStr">
        <is>
          <t>Simulado 01</t>
        </is>
      </c>
      <c r="B124" s="8" t="n">
        <v>31</v>
      </c>
      <c r="C124" s="8" t="inlineStr">
        <is>
          <t>10ª Fase</t>
        </is>
      </c>
      <c r="D124" s="8" t="inlineStr">
        <is>
          <t>A</t>
        </is>
      </c>
      <c r="E124" s="8" t="n">
        <v>31</v>
      </c>
      <c r="F124" s="8" t="n">
        <v>20</v>
      </c>
      <c r="G124" s="9">
        <f>IF(E124=0,"",F124/E124)</f>
        <v/>
      </c>
      <c r="H124" s="7" t="inlineStr">
        <is>
          <t>OK</t>
        </is>
      </c>
    </row>
    <row r="125">
      <c r="A125" s="10" t="inlineStr">
        <is>
          <t>Simulado 01</t>
        </is>
      </c>
      <c r="B125" s="11" t="n">
        <v>31</v>
      </c>
      <c r="C125" s="11" t="inlineStr">
        <is>
          <t>11ª Fase</t>
        </is>
      </c>
      <c r="D125" s="11" t="inlineStr">
        <is>
          <t>A</t>
        </is>
      </c>
      <c r="E125" s="11" t="n">
        <v>27</v>
      </c>
      <c r="F125" s="11" t="n">
        <v>24</v>
      </c>
      <c r="G125" s="12">
        <f>IF(E125=0,"",F125/E125)</f>
        <v/>
      </c>
      <c r="H125" s="10" t="inlineStr">
        <is>
          <t>OK</t>
        </is>
      </c>
    </row>
    <row r="126">
      <c r="A126" s="7" t="inlineStr">
        <is>
          <t>Simulado 01</t>
        </is>
      </c>
      <c r="B126" s="8" t="n">
        <v>32</v>
      </c>
      <c r="C126" s="8" t="inlineStr">
        <is>
          <t>6ª Fase</t>
        </is>
      </c>
      <c r="D126" s="8" t="inlineStr">
        <is>
          <t>A</t>
        </is>
      </c>
      <c r="E126" s="8" t="n">
        <v>27</v>
      </c>
      <c r="F126" s="8" t="n">
        <v>16</v>
      </c>
      <c r="G126" s="9">
        <f>IF(E126=0,"",F126/E126)</f>
        <v/>
      </c>
      <c r="H126" s="7" t="inlineStr">
        <is>
          <t>OK</t>
        </is>
      </c>
    </row>
    <row r="127">
      <c r="A127" s="10" t="inlineStr">
        <is>
          <t>Simulado 01</t>
        </is>
      </c>
      <c r="B127" s="11" t="n">
        <v>32</v>
      </c>
      <c r="C127" s="11" t="inlineStr">
        <is>
          <t>7ª Fase</t>
        </is>
      </c>
      <c r="D127" s="11" t="inlineStr">
        <is>
          <t>A</t>
        </is>
      </c>
      <c r="E127" s="11" t="n">
        <v>33</v>
      </c>
      <c r="F127" s="11" t="n">
        <v>21</v>
      </c>
      <c r="G127" s="12">
        <f>IF(E127=0,"",F127/E127)</f>
        <v/>
      </c>
      <c r="H127" s="10" t="inlineStr">
        <is>
          <t>OK</t>
        </is>
      </c>
    </row>
    <row r="128">
      <c r="A128" s="7" t="inlineStr">
        <is>
          <t>Simulado 01</t>
        </is>
      </c>
      <c r="B128" s="8" t="n">
        <v>32</v>
      </c>
      <c r="C128" s="8" t="inlineStr">
        <is>
          <t>10ª Fase</t>
        </is>
      </c>
      <c r="D128" s="8" t="inlineStr">
        <is>
          <t>A</t>
        </is>
      </c>
      <c r="E128" s="8" t="n">
        <v>31</v>
      </c>
      <c r="F128" s="8" t="n">
        <v>17</v>
      </c>
      <c r="G128" s="9">
        <f>IF(E128=0,"",F128/E128)</f>
        <v/>
      </c>
      <c r="H128" s="7" t="inlineStr">
        <is>
          <t>OK</t>
        </is>
      </c>
    </row>
    <row r="129">
      <c r="A129" s="10" t="inlineStr">
        <is>
          <t>Simulado 01</t>
        </is>
      </c>
      <c r="B129" s="11" t="n">
        <v>32</v>
      </c>
      <c r="C129" s="11" t="inlineStr">
        <is>
          <t>11ª Fase</t>
        </is>
      </c>
      <c r="D129" s="11" t="inlineStr">
        <is>
          <t>A</t>
        </is>
      </c>
      <c r="E129" s="11" t="n">
        <v>27</v>
      </c>
      <c r="F129" s="11" t="n">
        <v>12</v>
      </c>
      <c r="G129" s="12">
        <f>IF(E129=0,"",F129/E129)</f>
        <v/>
      </c>
      <c r="H129" s="10" t="inlineStr">
        <is>
          <t>OK</t>
        </is>
      </c>
    </row>
    <row r="130">
      <c r="A130" s="7" t="inlineStr">
        <is>
          <t>Simulado 01</t>
        </is>
      </c>
      <c r="B130" s="8" t="n">
        <v>33</v>
      </c>
      <c r="C130" s="8" t="inlineStr">
        <is>
          <t>6ª Fase</t>
        </is>
      </c>
      <c r="D130" s="8" t="inlineStr">
        <is>
          <t>A</t>
        </is>
      </c>
      <c r="E130" s="8" t="n">
        <v>27</v>
      </c>
      <c r="F130" s="8" t="n">
        <v>20</v>
      </c>
      <c r="G130" s="9">
        <f>IF(E130=0,"",F130/E130)</f>
        <v/>
      </c>
      <c r="H130" s="7" t="inlineStr">
        <is>
          <t>OK</t>
        </is>
      </c>
    </row>
    <row r="131">
      <c r="A131" s="10" t="inlineStr">
        <is>
          <t>Simulado 01</t>
        </is>
      </c>
      <c r="B131" s="11" t="n">
        <v>33</v>
      </c>
      <c r="C131" s="11" t="inlineStr">
        <is>
          <t>7ª Fase</t>
        </is>
      </c>
      <c r="D131" s="11" t="inlineStr">
        <is>
          <t>A</t>
        </is>
      </c>
      <c r="E131" s="11" t="n">
        <v>33</v>
      </c>
      <c r="F131" s="11" t="n">
        <v>29</v>
      </c>
      <c r="G131" s="12">
        <f>IF(E131=0,"",F131/E131)</f>
        <v/>
      </c>
      <c r="H131" s="10" t="inlineStr">
        <is>
          <t>OK</t>
        </is>
      </c>
    </row>
    <row r="132">
      <c r="A132" s="7" t="inlineStr">
        <is>
          <t>Simulado 01</t>
        </is>
      </c>
      <c r="B132" s="8" t="n">
        <v>33</v>
      </c>
      <c r="C132" s="8" t="inlineStr">
        <is>
          <t>10ª Fase</t>
        </is>
      </c>
      <c r="D132" s="8" t="inlineStr">
        <is>
          <t>A</t>
        </is>
      </c>
      <c r="E132" s="8" t="n">
        <v>31</v>
      </c>
      <c r="F132" s="8" t="n">
        <v>24</v>
      </c>
      <c r="G132" s="9">
        <f>IF(E132=0,"",F132/E132)</f>
        <v/>
      </c>
      <c r="H132" s="7" t="inlineStr">
        <is>
          <t>OK</t>
        </is>
      </c>
    </row>
    <row r="133">
      <c r="A133" s="10" t="inlineStr">
        <is>
          <t>Simulado 01</t>
        </is>
      </c>
      <c r="B133" s="11" t="n">
        <v>33</v>
      </c>
      <c r="C133" s="11" t="inlineStr">
        <is>
          <t>11ª Fase</t>
        </is>
      </c>
      <c r="D133" s="11" t="inlineStr">
        <is>
          <t>A</t>
        </is>
      </c>
      <c r="E133" s="11" t="n">
        <v>27</v>
      </c>
      <c r="F133" s="11" t="n">
        <v>24</v>
      </c>
      <c r="G133" s="12">
        <f>IF(E133=0,"",F133/E133)</f>
        <v/>
      </c>
      <c r="H133" s="10" t="inlineStr">
        <is>
          <t>OK</t>
        </is>
      </c>
    </row>
    <row r="134">
      <c r="A134" s="7" t="inlineStr">
        <is>
          <t>Simulado 01</t>
        </is>
      </c>
      <c r="B134" s="8" t="n">
        <v>34</v>
      </c>
      <c r="C134" s="8" t="inlineStr">
        <is>
          <t>6ª Fase</t>
        </is>
      </c>
      <c r="D134" s="8" t="inlineStr">
        <is>
          <t>C</t>
        </is>
      </c>
      <c r="E134" s="8" t="n">
        <v>27</v>
      </c>
      <c r="F134" s="8" t="n">
        <v>24</v>
      </c>
      <c r="G134" s="9">
        <f>IF(E134=0,"",F134/E134)</f>
        <v/>
      </c>
      <c r="H134" s="7" t="inlineStr">
        <is>
          <t>OK</t>
        </is>
      </c>
    </row>
    <row r="135">
      <c r="A135" s="10" t="inlineStr">
        <is>
          <t>Simulado 01</t>
        </is>
      </c>
      <c r="B135" s="11" t="n">
        <v>34</v>
      </c>
      <c r="C135" s="11" t="inlineStr">
        <is>
          <t>7ª Fase</t>
        </is>
      </c>
      <c r="D135" s="11" t="inlineStr">
        <is>
          <t>C</t>
        </is>
      </c>
      <c r="E135" s="11" t="n">
        <v>33</v>
      </c>
      <c r="F135" s="11" t="n">
        <v>31</v>
      </c>
      <c r="G135" s="12">
        <f>IF(E135=0,"",F135/E135)</f>
        <v/>
      </c>
      <c r="H135" s="10" t="inlineStr">
        <is>
          <t>OK</t>
        </is>
      </c>
    </row>
    <row r="136">
      <c r="A136" s="7" t="inlineStr">
        <is>
          <t>Simulado 01</t>
        </is>
      </c>
      <c r="B136" s="8" t="n">
        <v>34</v>
      </c>
      <c r="C136" s="8" t="inlineStr">
        <is>
          <t>10ª Fase</t>
        </is>
      </c>
      <c r="D136" s="8" t="inlineStr">
        <is>
          <t>C</t>
        </is>
      </c>
      <c r="E136" s="8" t="n">
        <v>31</v>
      </c>
      <c r="F136" s="8" t="n">
        <v>30</v>
      </c>
      <c r="G136" s="9">
        <f>IF(E136=0,"",F136/E136)</f>
        <v/>
      </c>
      <c r="H136" s="7" t="inlineStr">
        <is>
          <t>OK</t>
        </is>
      </c>
    </row>
    <row r="137">
      <c r="A137" s="10" t="inlineStr">
        <is>
          <t>Simulado 01</t>
        </is>
      </c>
      <c r="B137" s="11" t="n">
        <v>34</v>
      </c>
      <c r="C137" s="11" t="inlineStr">
        <is>
          <t>11ª Fase</t>
        </is>
      </c>
      <c r="D137" s="11" t="inlineStr">
        <is>
          <t>C</t>
        </is>
      </c>
      <c r="E137" s="11" t="n">
        <v>27</v>
      </c>
      <c r="F137" s="11" t="n">
        <v>26</v>
      </c>
      <c r="G137" s="12">
        <f>IF(E137=0,"",F137/E137)</f>
        <v/>
      </c>
      <c r="H137" s="10" t="inlineStr">
        <is>
          <t>OK</t>
        </is>
      </c>
    </row>
    <row r="138">
      <c r="A138" s="7" t="inlineStr">
        <is>
          <t>Simulado 01</t>
        </is>
      </c>
      <c r="B138" s="8" t="n">
        <v>35</v>
      </c>
      <c r="C138" s="8" t="inlineStr">
        <is>
          <t>6ª Fase</t>
        </is>
      </c>
      <c r="D138" s="8" t="inlineStr">
        <is>
          <t>A</t>
        </is>
      </c>
      <c r="E138" s="8" t="n">
        <v>27</v>
      </c>
      <c r="F138" s="8" t="n">
        <v>21</v>
      </c>
      <c r="G138" s="9">
        <f>IF(E138=0,"",F138/E138)</f>
        <v/>
      </c>
      <c r="H138" s="7" t="inlineStr">
        <is>
          <t>OK</t>
        </is>
      </c>
    </row>
    <row r="139">
      <c r="A139" s="10" t="inlineStr">
        <is>
          <t>Simulado 01</t>
        </is>
      </c>
      <c r="B139" s="11" t="n">
        <v>35</v>
      </c>
      <c r="C139" s="11" t="inlineStr">
        <is>
          <t>7ª Fase</t>
        </is>
      </c>
      <c r="D139" s="11" t="inlineStr">
        <is>
          <t>A</t>
        </is>
      </c>
      <c r="E139" s="11" t="n">
        <v>33</v>
      </c>
      <c r="F139" s="11" t="n">
        <v>22</v>
      </c>
      <c r="G139" s="12">
        <f>IF(E139=0,"",F139/E139)</f>
        <v/>
      </c>
      <c r="H139" s="10" t="inlineStr">
        <is>
          <t>OK</t>
        </is>
      </c>
    </row>
    <row r="140">
      <c r="A140" s="7" t="inlineStr">
        <is>
          <t>Simulado 01</t>
        </is>
      </c>
      <c r="B140" s="8" t="n">
        <v>35</v>
      </c>
      <c r="C140" s="8" t="inlineStr">
        <is>
          <t>10ª Fase</t>
        </is>
      </c>
      <c r="D140" s="8" t="inlineStr">
        <is>
          <t>A</t>
        </is>
      </c>
      <c r="E140" s="8" t="n">
        <v>31</v>
      </c>
      <c r="F140" s="8" t="n">
        <v>27</v>
      </c>
      <c r="G140" s="9">
        <f>IF(E140=0,"",F140/E140)</f>
        <v/>
      </c>
      <c r="H140" s="7" t="inlineStr">
        <is>
          <t>OK</t>
        </is>
      </c>
    </row>
    <row r="141">
      <c r="A141" s="10" t="inlineStr">
        <is>
          <t>Simulado 01</t>
        </is>
      </c>
      <c r="B141" s="11" t="n">
        <v>35</v>
      </c>
      <c r="C141" s="11" t="inlineStr">
        <is>
          <t>11ª Fase</t>
        </is>
      </c>
      <c r="D141" s="11" t="inlineStr">
        <is>
          <t>A</t>
        </is>
      </c>
      <c r="E141" s="11" t="n">
        <v>27</v>
      </c>
      <c r="F141" s="11" t="n">
        <v>23</v>
      </c>
      <c r="G141" s="12">
        <f>IF(E141=0,"",F141/E141)</f>
        <v/>
      </c>
      <c r="H141" s="10" t="inlineStr">
        <is>
          <t>OK</t>
        </is>
      </c>
    </row>
    <row r="142">
      <c r="A142" s="7" t="inlineStr">
        <is>
          <t>Simulado 01</t>
        </is>
      </c>
      <c r="B142" s="8" t="n">
        <v>36</v>
      </c>
      <c r="C142" s="8" t="inlineStr">
        <is>
          <t>6ª Fase</t>
        </is>
      </c>
      <c r="D142" s="8" t="inlineStr">
        <is>
          <t>B</t>
        </is>
      </c>
      <c r="E142" s="8" t="n">
        <v>27</v>
      </c>
      <c r="F142" s="8" t="n">
        <v>25</v>
      </c>
      <c r="G142" s="9">
        <f>IF(E142=0,"",F142/E142)</f>
        <v/>
      </c>
      <c r="H142" s="7" t="inlineStr">
        <is>
          <t>OK</t>
        </is>
      </c>
    </row>
    <row r="143">
      <c r="A143" s="10" t="inlineStr">
        <is>
          <t>Simulado 01</t>
        </is>
      </c>
      <c r="B143" s="11" t="n">
        <v>36</v>
      </c>
      <c r="C143" s="11" t="inlineStr">
        <is>
          <t>7ª Fase</t>
        </is>
      </c>
      <c r="D143" s="11" t="inlineStr">
        <is>
          <t>B</t>
        </is>
      </c>
      <c r="E143" s="11" t="n">
        <v>33</v>
      </c>
      <c r="F143" s="11" t="n">
        <v>32</v>
      </c>
      <c r="G143" s="12">
        <f>IF(E143=0,"",F143/E143)</f>
        <v/>
      </c>
      <c r="H143" s="10" t="inlineStr">
        <is>
          <t>OK</t>
        </is>
      </c>
    </row>
    <row r="144">
      <c r="A144" s="7" t="inlineStr">
        <is>
          <t>Simulado 01</t>
        </is>
      </c>
      <c r="B144" s="8" t="n">
        <v>36</v>
      </c>
      <c r="C144" s="8" t="inlineStr">
        <is>
          <t>10ª Fase</t>
        </is>
      </c>
      <c r="D144" s="8" t="inlineStr">
        <is>
          <t>B</t>
        </is>
      </c>
      <c r="E144" s="8" t="n">
        <v>31</v>
      </c>
      <c r="F144" s="8" t="n">
        <v>30</v>
      </c>
      <c r="G144" s="9">
        <f>IF(E144=0,"",F144/E144)</f>
        <v/>
      </c>
      <c r="H144" s="7" t="inlineStr">
        <is>
          <t>OK</t>
        </is>
      </c>
    </row>
    <row r="145">
      <c r="A145" s="10" t="inlineStr">
        <is>
          <t>Simulado 01</t>
        </is>
      </c>
      <c r="B145" s="11" t="n">
        <v>36</v>
      </c>
      <c r="C145" s="11" t="inlineStr">
        <is>
          <t>11ª Fase</t>
        </is>
      </c>
      <c r="D145" s="11" t="inlineStr">
        <is>
          <t>B</t>
        </is>
      </c>
      <c r="E145" s="11" t="n">
        <v>27</v>
      </c>
      <c r="F145" s="11" t="n">
        <v>24</v>
      </c>
      <c r="G145" s="12">
        <f>IF(E145=0,"",F145/E145)</f>
        <v/>
      </c>
      <c r="H145" s="10" t="inlineStr">
        <is>
          <t>OK</t>
        </is>
      </c>
    </row>
    <row r="146">
      <c r="A146" s="7" t="inlineStr">
        <is>
          <t>Simulado 01</t>
        </is>
      </c>
      <c r="B146" s="8" t="n">
        <v>37</v>
      </c>
      <c r="C146" s="8" t="inlineStr">
        <is>
          <t>6ª Fase</t>
        </is>
      </c>
      <c r="D146" s="8" t="inlineStr">
        <is>
          <t>B</t>
        </is>
      </c>
      <c r="E146" s="8" t="n">
        <v>27</v>
      </c>
      <c r="F146" s="8" t="n">
        <v>4</v>
      </c>
      <c r="G146" s="9">
        <f>IF(E146=0,"",F146/E146)</f>
        <v/>
      </c>
      <c r="H146" s="7" t="inlineStr">
        <is>
          <t>OK</t>
        </is>
      </c>
    </row>
    <row r="147">
      <c r="A147" s="10" t="inlineStr">
        <is>
          <t>Simulado 01</t>
        </is>
      </c>
      <c r="B147" s="11" t="n">
        <v>37</v>
      </c>
      <c r="C147" s="11" t="inlineStr">
        <is>
          <t>7ª Fase</t>
        </is>
      </c>
      <c r="D147" s="11" t="inlineStr">
        <is>
          <t>B</t>
        </is>
      </c>
      <c r="E147" s="11" t="n">
        <v>33</v>
      </c>
      <c r="F147" s="11" t="n">
        <v>5</v>
      </c>
      <c r="G147" s="12">
        <f>IF(E147=0,"",F147/E147)</f>
        <v/>
      </c>
      <c r="H147" s="10" t="inlineStr">
        <is>
          <t>OK</t>
        </is>
      </c>
    </row>
    <row r="148">
      <c r="A148" s="7" t="inlineStr">
        <is>
          <t>Simulado 01</t>
        </is>
      </c>
      <c r="B148" s="8" t="n">
        <v>37</v>
      </c>
      <c r="C148" s="8" t="inlineStr">
        <is>
          <t>10ª Fase</t>
        </is>
      </c>
      <c r="D148" s="8" t="inlineStr">
        <is>
          <t>B</t>
        </is>
      </c>
      <c r="E148" s="8" t="n">
        <v>31</v>
      </c>
      <c r="F148" s="8" t="n">
        <v>13</v>
      </c>
      <c r="G148" s="9">
        <f>IF(E148=0,"",F148/E148)</f>
        <v/>
      </c>
      <c r="H148" s="7" t="inlineStr">
        <is>
          <t>OK</t>
        </is>
      </c>
    </row>
    <row r="149">
      <c r="A149" s="10" t="inlineStr">
        <is>
          <t>Simulado 01</t>
        </is>
      </c>
      <c r="B149" s="11" t="n">
        <v>37</v>
      </c>
      <c r="C149" s="11" t="inlineStr">
        <is>
          <t>11ª Fase</t>
        </is>
      </c>
      <c r="D149" s="11" t="inlineStr">
        <is>
          <t>B</t>
        </is>
      </c>
      <c r="E149" s="11" t="n">
        <v>27</v>
      </c>
      <c r="F149" s="11" t="n">
        <v>15</v>
      </c>
      <c r="G149" s="12">
        <f>IF(E149=0,"",F149/E149)</f>
        <v/>
      </c>
      <c r="H149" s="10" t="inlineStr">
        <is>
          <t>OK</t>
        </is>
      </c>
    </row>
    <row r="150">
      <c r="A150" s="7" t="inlineStr">
        <is>
          <t>Simulado 01</t>
        </is>
      </c>
      <c r="B150" s="8" t="n">
        <v>38</v>
      </c>
      <c r="C150" s="8" t="inlineStr">
        <is>
          <t>6ª Fase</t>
        </is>
      </c>
      <c r="D150" s="8" t="inlineStr">
        <is>
          <t>E</t>
        </is>
      </c>
      <c r="E150" s="8" t="n">
        <v>27</v>
      </c>
      <c r="F150" s="8" t="n">
        <v>19</v>
      </c>
      <c r="G150" s="9">
        <f>IF(E150=0,"",F150/E150)</f>
        <v/>
      </c>
      <c r="H150" s="7" t="inlineStr">
        <is>
          <t>OK</t>
        </is>
      </c>
    </row>
    <row r="151">
      <c r="A151" s="10" t="inlineStr">
        <is>
          <t>Simulado 01</t>
        </is>
      </c>
      <c r="B151" s="11" t="n">
        <v>38</v>
      </c>
      <c r="C151" s="11" t="inlineStr">
        <is>
          <t>7ª Fase</t>
        </is>
      </c>
      <c r="D151" s="11" t="inlineStr">
        <is>
          <t>E</t>
        </is>
      </c>
      <c r="E151" s="11" t="n">
        <v>33</v>
      </c>
      <c r="F151" s="11" t="n">
        <v>15</v>
      </c>
      <c r="G151" s="12">
        <f>IF(E151=0,"",F151/E151)</f>
        <v/>
      </c>
      <c r="H151" s="10" t="inlineStr">
        <is>
          <t>OK</t>
        </is>
      </c>
    </row>
    <row r="152">
      <c r="A152" s="7" t="inlineStr">
        <is>
          <t>Simulado 01</t>
        </is>
      </c>
      <c r="B152" s="8" t="n">
        <v>38</v>
      </c>
      <c r="C152" s="8" t="inlineStr">
        <is>
          <t>10ª Fase</t>
        </is>
      </c>
      <c r="D152" s="8" t="inlineStr">
        <is>
          <t>E</t>
        </is>
      </c>
      <c r="E152" s="8" t="n">
        <v>31</v>
      </c>
      <c r="F152" s="8" t="n">
        <v>16</v>
      </c>
      <c r="G152" s="9">
        <f>IF(E152=0,"",F152/E152)</f>
        <v/>
      </c>
      <c r="H152" s="7" t="inlineStr">
        <is>
          <t>OK</t>
        </is>
      </c>
    </row>
    <row r="153">
      <c r="A153" s="10" t="inlineStr">
        <is>
          <t>Simulado 01</t>
        </is>
      </c>
      <c r="B153" s="11" t="n">
        <v>38</v>
      </c>
      <c r="C153" s="11" t="inlineStr">
        <is>
          <t>11ª Fase</t>
        </is>
      </c>
      <c r="D153" s="11" t="inlineStr">
        <is>
          <t>E</t>
        </is>
      </c>
      <c r="E153" s="11" t="n">
        <v>27</v>
      </c>
      <c r="F153" s="11" t="n">
        <v>16</v>
      </c>
      <c r="G153" s="12">
        <f>IF(E153=0,"",F153/E153)</f>
        <v/>
      </c>
      <c r="H153" s="10" t="inlineStr">
        <is>
          <t>OK</t>
        </is>
      </c>
    </row>
    <row r="154">
      <c r="A154" s="13" t="inlineStr">
        <is>
          <t>Simulado 01</t>
        </is>
      </c>
      <c r="B154" s="14" t="n">
        <v>39</v>
      </c>
      <c r="C154" s="14" t="inlineStr">
        <is>
          <t>6ª Fase</t>
        </is>
      </c>
      <c r="D154" s="14" t="inlineStr">
        <is>
          <t>E</t>
        </is>
      </c>
      <c r="E154" s="14" t="n">
        <v>27</v>
      </c>
      <c r="F154" s="14" t="n">
        <v>14</v>
      </c>
      <c r="G154" s="15">
        <f>IF(E154=0,"",F154/E154)</f>
        <v/>
      </c>
      <c r="H154" s="13" t="inlineStr">
        <is>
          <t>Dashboard pontuou E (soma fecha com as notas); gabarito oficial do PDF indica D</t>
        </is>
      </c>
    </row>
    <row r="155">
      <c r="A155" s="13" t="inlineStr">
        <is>
          <t>Simulado 01</t>
        </is>
      </c>
      <c r="B155" s="14" t="n">
        <v>39</v>
      </c>
      <c r="C155" s="14" t="inlineStr">
        <is>
          <t>7ª Fase</t>
        </is>
      </c>
      <c r="D155" s="14" t="inlineStr">
        <is>
          <t>E</t>
        </is>
      </c>
      <c r="E155" s="14" t="n">
        <v>33</v>
      </c>
      <c r="F155" s="14" t="n">
        <v>23</v>
      </c>
      <c r="G155" s="15">
        <f>IF(E155=0,"",F155/E155)</f>
        <v/>
      </c>
      <c r="H155" s="13" t="inlineStr">
        <is>
          <t>Dashboard pontuou E (soma fecha com as notas); gabarito oficial do PDF indica D</t>
        </is>
      </c>
    </row>
    <row r="156">
      <c r="A156" s="13" t="inlineStr">
        <is>
          <t>Simulado 01</t>
        </is>
      </c>
      <c r="B156" s="14" t="n">
        <v>39</v>
      </c>
      <c r="C156" s="14" t="inlineStr">
        <is>
          <t>10ª Fase</t>
        </is>
      </c>
      <c r="D156" s="14" t="inlineStr">
        <is>
          <t>E</t>
        </is>
      </c>
      <c r="E156" s="14" t="n">
        <v>31</v>
      </c>
      <c r="F156" s="14" t="n">
        <v>22</v>
      </c>
      <c r="G156" s="15">
        <f>IF(E156=0,"",F156/E156)</f>
        <v/>
      </c>
      <c r="H156" s="13" t="inlineStr">
        <is>
          <t>Dashboard pontuou E (soma fecha com as notas); gabarito oficial do PDF indica D</t>
        </is>
      </c>
    </row>
    <row r="157">
      <c r="A157" s="13" t="inlineStr">
        <is>
          <t>Simulado 01</t>
        </is>
      </c>
      <c r="B157" s="14" t="n">
        <v>39</v>
      </c>
      <c r="C157" s="14" t="inlineStr">
        <is>
          <t>11ª Fase</t>
        </is>
      </c>
      <c r="D157" s="14" t="inlineStr">
        <is>
          <t>E</t>
        </is>
      </c>
      <c r="E157" s="14" t="n">
        <v>27</v>
      </c>
      <c r="F157" s="14" t="n">
        <v>19</v>
      </c>
      <c r="G157" s="15">
        <f>IF(E157=0,"",F157/E157)</f>
        <v/>
      </c>
      <c r="H157" s="13" t="inlineStr">
        <is>
          <t>Dashboard pontuou E (soma fecha com as notas); gabarito oficial do PDF indica D</t>
        </is>
      </c>
    </row>
    <row r="158">
      <c r="A158" s="7" t="inlineStr">
        <is>
          <t>Simulado 01</t>
        </is>
      </c>
      <c r="B158" s="8" t="n">
        <v>40</v>
      </c>
      <c r="C158" s="8" t="inlineStr">
        <is>
          <t>6ª Fase</t>
        </is>
      </c>
      <c r="D158" s="8" t="inlineStr">
        <is>
          <t>B</t>
        </is>
      </c>
      <c r="E158" s="8" t="n">
        <v>27</v>
      </c>
      <c r="F158" s="8" t="n">
        <v>8</v>
      </c>
      <c r="G158" s="9">
        <f>IF(E158=0,"",F158/E158)</f>
        <v/>
      </c>
      <c r="H158" s="7" t="inlineStr">
        <is>
          <t>OK</t>
        </is>
      </c>
    </row>
    <row r="159">
      <c r="A159" s="10" t="inlineStr">
        <is>
          <t>Simulado 01</t>
        </is>
      </c>
      <c r="B159" s="11" t="n">
        <v>40</v>
      </c>
      <c r="C159" s="11" t="inlineStr">
        <is>
          <t>7ª Fase</t>
        </is>
      </c>
      <c r="D159" s="11" t="inlineStr">
        <is>
          <t>B</t>
        </is>
      </c>
      <c r="E159" s="11" t="n">
        <v>33</v>
      </c>
      <c r="F159" s="11" t="n">
        <v>7</v>
      </c>
      <c r="G159" s="12">
        <f>IF(E159=0,"",F159/E159)</f>
        <v/>
      </c>
      <c r="H159" s="10" t="inlineStr">
        <is>
          <t>OK</t>
        </is>
      </c>
    </row>
    <row r="160">
      <c r="A160" s="7" t="inlineStr">
        <is>
          <t>Simulado 01</t>
        </is>
      </c>
      <c r="B160" s="8" t="n">
        <v>40</v>
      </c>
      <c r="C160" s="8" t="inlineStr">
        <is>
          <t>10ª Fase</t>
        </is>
      </c>
      <c r="D160" s="8" t="inlineStr">
        <is>
          <t>B</t>
        </is>
      </c>
      <c r="E160" s="8" t="n">
        <v>31</v>
      </c>
      <c r="F160" s="8" t="n">
        <v>11</v>
      </c>
      <c r="G160" s="9">
        <f>IF(E160=0,"",F160/E160)</f>
        <v/>
      </c>
      <c r="H160" s="7" t="inlineStr">
        <is>
          <t>OK</t>
        </is>
      </c>
    </row>
    <row r="161">
      <c r="A161" s="10" t="inlineStr">
        <is>
          <t>Simulado 01</t>
        </is>
      </c>
      <c r="B161" s="11" t="n">
        <v>40</v>
      </c>
      <c r="C161" s="11" t="inlineStr">
        <is>
          <t>11ª Fase</t>
        </is>
      </c>
      <c r="D161" s="11" t="inlineStr">
        <is>
          <t>B</t>
        </is>
      </c>
      <c r="E161" s="11" t="n">
        <v>27</v>
      </c>
      <c r="F161" s="11" t="n">
        <v>17</v>
      </c>
      <c r="G161" s="12">
        <f>IF(E161=0,"",F161/E161)</f>
        <v/>
      </c>
      <c r="H161" s="10" t="inlineStr">
        <is>
          <t>OK</t>
        </is>
      </c>
    </row>
    <row r="162">
      <c r="A162" s="7" t="inlineStr">
        <is>
          <t>Simulado 02</t>
        </is>
      </c>
      <c r="B162" s="8" t="n">
        <v>1</v>
      </c>
      <c r="C162" s="8" t="inlineStr">
        <is>
          <t>6ª Fase</t>
        </is>
      </c>
      <c r="D162" s="8" t="inlineStr">
        <is>
          <t>D</t>
        </is>
      </c>
      <c r="E162" s="8" t="n">
        <v>28</v>
      </c>
      <c r="F162" s="8" t="n">
        <v>4</v>
      </c>
      <c r="G162" s="9">
        <f>IF(E162=0,"",F162/E162)</f>
        <v/>
      </c>
      <c r="H162" s="7" t="inlineStr">
        <is>
          <t>OK</t>
        </is>
      </c>
    </row>
    <row r="163">
      <c r="A163" s="10" t="inlineStr">
        <is>
          <t>Simulado 02</t>
        </is>
      </c>
      <c r="B163" s="11" t="n">
        <v>1</v>
      </c>
      <c r="C163" s="11" t="inlineStr">
        <is>
          <t>7ª Fase</t>
        </is>
      </c>
      <c r="D163" s="11" t="inlineStr">
        <is>
          <t>D</t>
        </is>
      </c>
      <c r="E163" s="11" t="n">
        <v>32</v>
      </c>
      <c r="F163" s="11" t="n">
        <v>4</v>
      </c>
      <c r="G163" s="12">
        <f>IF(E163=0,"",F163/E163)</f>
        <v/>
      </c>
      <c r="H163" s="10" t="inlineStr">
        <is>
          <t>OK</t>
        </is>
      </c>
    </row>
    <row r="164">
      <c r="A164" s="7" t="inlineStr">
        <is>
          <t>Simulado 02</t>
        </is>
      </c>
      <c r="B164" s="8" t="n">
        <v>1</v>
      </c>
      <c r="C164" s="8" t="inlineStr">
        <is>
          <t>10ª Fase</t>
        </is>
      </c>
      <c r="D164" s="8" t="inlineStr">
        <is>
          <t>D</t>
        </is>
      </c>
      <c r="E164" s="8" t="n">
        <v>31</v>
      </c>
      <c r="F164" s="8" t="n">
        <v>8</v>
      </c>
      <c r="G164" s="9">
        <f>IF(E164=0,"",F164/E164)</f>
        <v/>
      </c>
      <c r="H164" s="7" t="inlineStr">
        <is>
          <t>OK</t>
        </is>
      </c>
    </row>
    <row r="165">
      <c r="A165" s="10" t="inlineStr">
        <is>
          <t>Simulado 02</t>
        </is>
      </c>
      <c r="B165" s="11" t="n">
        <v>1</v>
      </c>
      <c r="C165" s="11" t="inlineStr">
        <is>
          <t>11ª Fase</t>
        </is>
      </c>
      <c r="D165" s="11" t="inlineStr">
        <is>
          <t>D</t>
        </is>
      </c>
      <c r="E165" s="11" t="n">
        <v>29</v>
      </c>
      <c r="F165" s="11" t="n">
        <v>15</v>
      </c>
      <c r="G165" s="12">
        <f>IF(E165=0,"",F165/E165)</f>
        <v/>
      </c>
      <c r="H165" s="10" t="inlineStr">
        <is>
          <t>OK</t>
        </is>
      </c>
    </row>
    <row r="166">
      <c r="A166" s="7" t="inlineStr">
        <is>
          <t>Simulado 02</t>
        </is>
      </c>
      <c r="B166" s="8" t="n">
        <v>2</v>
      </c>
      <c r="C166" s="8" t="inlineStr">
        <is>
          <t>6ª Fase</t>
        </is>
      </c>
      <c r="D166" s="8" t="inlineStr">
        <is>
          <t>B</t>
        </is>
      </c>
      <c r="E166" s="8" t="n">
        <v>28</v>
      </c>
      <c r="F166" s="8" t="n">
        <v>20</v>
      </c>
      <c r="G166" s="9">
        <f>IF(E166=0,"",F166/E166)</f>
        <v/>
      </c>
      <c r="H166" s="7" t="inlineStr">
        <is>
          <t>OK</t>
        </is>
      </c>
    </row>
    <row r="167">
      <c r="A167" s="10" t="inlineStr">
        <is>
          <t>Simulado 02</t>
        </is>
      </c>
      <c r="B167" s="11" t="n">
        <v>2</v>
      </c>
      <c r="C167" s="11" t="inlineStr">
        <is>
          <t>7ª Fase</t>
        </is>
      </c>
      <c r="D167" s="11" t="inlineStr">
        <is>
          <t>B</t>
        </is>
      </c>
      <c r="E167" s="11" t="n">
        <v>32</v>
      </c>
      <c r="F167" s="11" t="n">
        <v>21</v>
      </c>
      <c r="G167" s="12">
        <f>IF(E167=0,"",F167/E167)</f>
        <v/>
      </c>
      <c r="H167" s="10" t="inlineStr">
        <is>
          <t>OK</t>
        </is>
      </c>
    </row>
    <row r="168">
      <c r="A168" s="7" t="inlineStr">
        <is>
          <t>Simulado 02</t>
        </is>
      </c>
      <c r="B168" s="8" t="n">
        <v>2</v>
      </c>
      <c r="C168" s="8" t="inlineStr">
        <is>
          <t>10ª Fase</t>
        </is>
      </c>
      <c r="D168" s="8" t="inlineStr">
        <is>
          <t>B</t>
        </is>
      </c>
      <c r="E168" s="8" t="n">
        <v>31</v>
      </c>
      <c r="F168" s="8" t="n">
        <v>21</v>
      </c>
      <c r="G168" s="9">
        <f>IF(E168=0,"",F168/E168)</f>
        <v/>
      </c>
      <c r="H168" s="7" t="inlineStr">
        <is>
          <t>OK</t>
        </is>
      </c>
    </row>
    <row r="169">
      <c r="A169" s="10" t="inlineStr">
        <is>
          <t>Simulado 02</t>
        </is>
      </c>
      <c r="B169" s="11" t="n">
        <v>2</v>
      </c>
      <c r="C169" s="11" t="inlineStr">
        <is>
          <t>11ª Fase</t>
        </is>
      </c>
      <c r="D169" s="11" t="inlineStr">
        <is>
          <t>B</t>
        </is>
      </c>
      <c r="E169" s="11" t="n">
        <v>29</v>
      </c>
      <c r="F169" s="11" t="n">
        <v>21</v>
      </c>
      <c r="G169" s="12">
        <f>IF(E169=0,"",F169/E169)</f>
        <v/>
      </c>
      <c r="H169" s="10" t="inlineStr">
        <is>
          <t>OK</t>
        </is>
      </c>
    </row>
    <row r="170">
      <c r="A170" s="7" t="inlineStr">
        <is>
          <t>Simulado 02</t>
        </is>
      </c>
      <c r="B170" s="8" t="n">
        <v>3</v>
      </c>
      <c r="C170" s="8" t="inlineStr">
        <is>
          <t>6ª Fase</t>
        </is>
      </c>
      <c r="D170" s="8" t="inlineStr">
        <is>
          <t>C</t>
        </is>
      </c>
      <c r="E170" s="8" t="n">
        <v>28</v>
      </c>
      <c r="F170" s="8" t="n">
        <v>25</v>
      </c>
      <c r="G170" s="9">
        <f>IF(E170=0,"",F170/E170)</f>
        <v/>
      </c>
      <c r="H170" s="7" t="inlineStr">
        <is>
          <t>OK</t>
        </is>
      </c>
    </row>
    <row r="171">
      <c r="A171" s="10" t="inlineStr">
        <is>
          <t>Simulado 02</t>
        </is>
      </c>
      <c r="B171" s="11" t="n">
        <v>3</v>
      </c>
      <c r="C171" s="11" t="inlineStr">
        <is>
          <t>7ª Fase</t>
        </is>
      </c>
      <c r="D171" s="11" t="inlineStr">
        <is>
          <t>C</t>
        </is>
      </c>
      <c r="E171" s="11" t="n">
        <v>32</v>
      </c>
      <c r="F171" s="11" t="n">
        <v>30</v>
      </c>
      <c r="G171" s="12">
        <f>IF(E171=0,"",F171/E171)</f>
        <v/>
      </c>
      <c r="H171" s="10" t="inlineStr">
        <is>
          <t>OK</t>
        </is>
      </c>
    </row>
    <row r="172">
      <c r="A172" s="7" t="inlineStr">
        <is>
          <t>Simulado 02</t>
        </is>
      </c>
      <c r="B172" s="8" t="n">
        <v>3</v>
      </c>
      <c r="C172" s="8" t="inlineStr">
        <is>
          <t>10ª Fase</t>
        </is>
      </c>
      <c r="D172" s="8" t="inlineStr">
        <is>
          <t>C</t>
        </is>
      </c>
      <c r="E172" s="8" t="n">
        <v>31</v>
      </c>
      <c r="F172" s="8" t="n">
        <v>28</v>
      </c>
      <c r="G172" s="9">
        <f>IF(E172=0,"",F172/E172)</f>
        <v/>
      </c>
      <c r="H172" s="7" t="inlineStr">
        <is>
          <t>OK</t>
        </is>
      </c>
    </row>
    <row r="173">
      <c r="A173" s="10" t="inlineStr">
        <is>
          <t>Simulado 02</t>
        </is>
      </c>
      <c r="B173" s="11" t="n">
        <v>3</v>
      </c>
      <c r="C173" s="11" t="inlineStr">
        <is>
          <t>11ª Fase</t>
        </is>
      </c>
      <c r="D173" s="11" t="inlineStr">
        <is>
          <t>C</t>
        </is>
      </c>
      <c r="E173" s="11" t="n">
        <v>29</v>
      </c>
      <c r="F173" s="11" t="n">
        <v>28</v>
      </c>
      <c r="G173" s="12">
        <f>IF(E173=0,"",F173/E173)</f>
        <v/>
      </c>
      <c r="H173" s="10" t="inlineStr">
        <is>
          <t>OK</t>
        </is>
      </c>
    </row>
    <row r="174">
      <c r="A174" s="7" t="inlineStr">
        <is>
          <t>Simulado 02</t>
        </is>
      </c>
      <c r="B174" s="8" t="n">
        <v>4</v>
      </c>
      <c r="C174" s="8" t="inlineStr">
        <is>
          <t>6ª Fase</t>
        </is>
      </c>
      <c r="D174" s="8" t="inlineStr">
        <is>
          <t>C</t>
        </is>
      </c>
      <c r="E174" s="8" t="n">
        <v>28</v>
      </c>
      <c r="F174" s="8" t="n">
        <v>14</v>
      </c>
      <c r="G174" s="9">
        <f>IF(E174=0,"",F174/E174)</f>
        <v/>
      </c>
      <c r="H174" s="7" t="inlineStr">
        <is>
          <t>OK</t>
        </is>
      </c>
    </row>
    <row r="175">
      <c r="A175" s="10" t="inlineStr">
        <is>
          <t>Simulado 02</t>
        </is>
      </c>
      <c r="B175" s="11" t="n">
        <v>4</v>
      </c>
      <c r="C175" s="11" t="inlineStr">
        <is>
          <t>7ª Fase</t>
        </is>
      </c>
      <c r="D175" s="11" t="inlineStr">
        <is>
          <t>C</t>
        </is>
      </c>
      <c r="E175" s="11" t="n">
        <v>32</v>
      </c>
      <c r="F175" s="11" t="n">
        <v>11</v>
      </c>
      <c r="G175" s="12">
        <f>IF(E175=0,"",F175/E175)</f>
        <v/>
      </c>
      <c r="H175" s="10" t="inlineStr">
        <is>
          <t>OK</t>
        </is>
      </c>
    </row>
    <row r="176">
      <c r="A176" s="7" t="inlineStr">
        <is>
          <t>Simulado 02</t>
        </is>
      </c>
      <c r="B176" s="8" t="n">
        <v>4</v>
      </c>
      <c r="C176" s="8" t="inlineStr">
        <is>
          <t>10ª Fase</t>
        </is>
      </c>
      <c r="D176" s="8" t="inlineStr">
        <is>
          <t>C</t>
        </is>
      </c>
      <c r="E176" s="8" t="n">
        <v>31</v>
      </c>
      <c r="F176" s="8" t="n">
        <v>17</v>
      </c>
      <c r="G176" s="9">
        <f>IF(E176=0,"",F176/E176)</f>
        <v/>
      </c>
      <c r="H176" s="7" t="inlineStr">
        <is>
          <t>OK</t>
        </is>
      </c>
    </row>
    <row r="177">
      <c r="A177" s="10" t="inlineStr">
        <is>
          <t>Simulado 02</t>
        </is>
      </c>
      <c r="B177" s="11" t="n">
        <v>4</v>
      </c>
      <c r="C177" s="11" t="inlineStr">
        <is>
          <t>11ª Fase</t>
        </is>
      </c>
      <c r="D177" s="11" t="inlineStr">
        <is>
          <t>C</t>
        </is>
      </c>
      <c r="E177" s="11" t="n">
        <v>29</v>
      </c>
      <c r="F177" s="11" t="n">
        <v>14</v>
      </c>
      <c r="G177" s="12">
        <f>IF(E177=0,"",F177/E177)</f>
        <v/>
      </c>
      <c r="H177" s="10" t="inlineStr">
        <is>
          <t>OK</t>
        </is>
      </c>
    </row>
    <row r="178">
      <c r="A178" s="7" t="inlineStr">
        <is>
          <t>Simulado 02</t>
        </is>
      </c>
      <c r="B178" s="8" t="n">
        <v>5</v>
      </c>
      <c r="C178" s="8" t="inlineStr">
        <is>
          <t>6ª Fase</t>
        </is>
      </c>
      <c r="D178" s="8" t="inlineStr">
        <is>
          <t>C</t>
        </is>
      </c>
      <c r="E178" s="8" t="n">
        <v>28</v>
      </c>
      <c r="F178" s="8" t="n">
        <v>19</v>
      </c>
      <c r="G178" s="9">
        <f>IF(E178=0,"",F178/E178)</f>
        <v/>
      </c>
      <c r="H178" s="7" t="inlineStr">
        <is>
          <t>OK</t>
        </is>
      </c>
    </row>
    <row r="179">
      <c r="A179" s="10" t="inlineStr">
        <is>
          <t>Simulado 02</t>
        </is>
      </c>
      <c r="B179" s="11" t="n">
        <v>5</v>
      </c>
      <c r="C179" s="11" t="inlineStr">
        <is>
          <t>7ª Fase</t>
        </is>
      </c>
      <c r="D179" s="11" t="inlineStr">
        <is>
          <t>C</t>
        </is>
      </c>
      <c r="E179" s="11" t="n">
        <v>32</v>
      </c>
      <c r="F179" s="11" t="n">
        <v>20</v>
      </c>
      <c r="G179" s="12">
        <f>IF(E179=0,"",F179/E179)</f>
        <v/>
      </c>
      <c r="H179" s="10" t="inlineStr">
        <is>
          <t>OK</t>
        </is>
      </c>
    </row>
    <row r="180">
      <c r="A180" s="7" t="inlineStr">
        <is>
          <t>Simulado 02</t>
        </is>
      </c>
      <c r="B180" s="8" t="n">
        <v>5</v>
      </c>
      <c r="C180" s="8" t="inlineStr">
        <is>
          <t>10ª Fase</t>
        </is>
      </c>
      <c r="D180" s="8" t="inlineStr">
        <is>
          <t>C</t>
        </is>
      </c>
      <c r="E180" s="8" t="n">
        <v>31</v>
      </c>
      <c r="F180" s="8" t="n">
        <v>10</v>
      </c>
      <c r="G180" s="9">
        <f>IF(E180=0,"",F180/E180)</f>
        <v/>
      </c>
      <c r="H180" s="7" t="inlineStr">
        <is>
          <t>OK</t>
        </is>
      </c>
    </row>
    <row r="181">
      <c r="A181" s="10" t="inlineStr">
        <is>
          <t>Simulado 02</t>
        </is>
      </c>
      <c r="B181" s="11" t="n">
        <v>5</v>
      </c>
      <c r="C181" s="11" t="inlineStr">
        <is>
          <t>11ª Fase</t>
        </is>
      </c>
      <c r="D181" s="11" t="inlineStr">
        <is>
          <t>C</t>
        </is>
      </c>
      <c r="E181" s="11" t="n">
        <v>29</v>
      </c>
      <c r="F181" s="11" t="n">
        <v>19</v>
      </c>
      <c r="G181" s="12">
        <f>IF(E181=0,"",F181/E181)</f>
        <v/>
      </c>
      <c r="H181" s="10" t="inlineStr">
        <is>
          <t>OK</t>
        </is>
      </c>
    </row>
    <row r="182">
      <c r="A182" s="7" t="inlineStr">
        <is>
          <t>Simulado 02</t>
        </is>
      </c>
      <c r="B182" s="8" t="n">
        <v>6</v>
      </c>
      <c r="C182" s="8" t="inlineStr">
        <is>
          <t>6ª Fase</t>
        </is>
      </c>
      <c r="D182" s="8" t="inlineStr">
        <is>
          <t>D</t>
        </is>
      </c>
      <c r="E182" s="8" t="n">
        <v>28</v>
      </c>
      <c r="F182" s="8" t="n">
        <v>15</v>
      </c>
      <c r="G182" s="9">
        <f>IF(E182=0,"",F182/E182)</f>
        <v/>
      </c>
      <c r="H182" s="7" t="inlineStr">
        <is>
          <t>OK</t>
        </is>
      </c>
    </row>
    <row r="183">
      <c r="A183" s="10" t="inlineStr">
        <is>
          <t>Simulado 02</t>
        </is>
      </c>
      <c r="B183" s="11" t="n">
        <v>6</v>
      </c>
      <c r="C183" s="11" t="inlineStr">
        <is>
          <t>7ª Fase</t>
        </is>
      </c>
      <c r="D183" s="11" t="inlineStr">
        <is>
          <t>D</t>
        </is>
      </c>
      <c r="E183" s="11" t="n">
        <v>32</v>
      </c>
      <c r="F183" s="11" t="n">
        <v>25</v>
      </c>
      <c r="G183" s="12">
        <f>IF(E183=0,"",F183/E183)</f>
        <v/>
      </c>
      <c r="H183" s="10" t="inlineStr">
        <is>
          <t>OK</t>
        </is>
      </c>
    </row>
    <row r="184">
      <c r="A184" s="7" t="inlineStr">
        <is>
          <t>Simulado 02</t>
        </is>
      </c>
      <c r="B184" s="8" t="n">
        <v>6</v>
      </c>
      <c r="C184" s="8" t="inlineStr">
        <is>
          <t>10ª Fase</t>
        </is>
      </c>
      <c r="D184" s="8" t="inlineStr">
        <is>
          <t>D</t>
        </is>
      </c>
      <c r="E184" s="8" t="n">
        <v>31</v>
      </c>
      <c r="F184" s="8" t="n">
        <v>22</v>
      </c>
      <c r="G184" s="9">
        <f>IF(E184=0,"",F184/E184)</f>
        <v/>
      </c>
      <c r="H184" s="7" t="inlineStr">
        <is>
          <t>OK</t>
        </is>
      </c>
    </row>
    <row r="185">
      <c r="A185" s="10" t="inlineStr">
        <is>
          <t>Simulado 02</t>
        </is>
      </c>
      <c r="B185" s="11" t="n">
        <v>6</v>
      </c>
      <c r="C185" s="11" t="inlineStr">
        <is>
          <t>11ª Fase</t>
        </is>
      </c>
      <c r="D185" s="11" t="inlineStr">
        <is>
          <t>D</t>
        </is>
      </c>
      <c r="E185" s="11" t="n">
        <v>29</v>
      </c>
      <c r="F185" s="11" t="n">
        <v>21</v>
      </c>
      <c r="G185" s="12">
        <f>IF(E185=0,"",F185/E185)</f>
        <v/>
      </c>
      <c r="H185" s="10" t="inlineStr">
        <is>
          <t>OK</t>
        </is>
      </c>
    </row>
    <row r="186">
      <c r="A186" s="7" t="inlineStr">
        <is>
          <t>Simulado 02</t>
        </is>
      </c>
      <c r="B186" s="8" t="n">
        <v>7</v>
      </c>
      <c r="C186" s="8" t="inlineStr">
        <is>
          <t>6ª Fase</t>
        </is>
      </c>
      <c r="D186" s="8" t="inlineStr">
        <is>
          <t>C</t>
        </is>
      </c>
      <c r="E186" s="8" t="n">
        <v>28</v>
      </c>
      <c r="F186" s="8" t="n">
        <v>21</v>
      </c>
      <c r="G186" s="9">
        <f>IF(E186=0,"",F186/E186)</f>
        <v/>
      </c>
      <c r="H186" s="7" t="inlineStr">
        <is>
          <t>OK</t>
        </is>
      </c>
    </row>
    <row r="187">
      <c r="A187" s="10" t="inlineStr">
        <is>
          <t>Simulado 02</t>
        </is>
      </c>
      <c r="B187" s="11" t="n">
        <v>7</v>
      </c>
      <c r="C187" s="11" t="inlineStr">
        <is>
          <t>7ª Fase</t>
        </is>
      </c>
      <c r="D187" s="11" t="inlineStr">
        <is>
          <t>C</t>
        </is>
      </c>
      <c r="E187" s="11" t="n">
        <v>32</v>
      </c>
      <c r="F187" s="11" t="n">
        <v>27</v>
      </c>
      <c r="G187" s="12">
        <f>IF(E187=0,"",F187/E187)</f>
        <v/>
      </c>
      <c r="H187" s="10" t="inlineStr">
        <is>
          <t>OK</t>
        </is>
      </c>
    </row>
    <row r="188">
      <c r="A188" s="7" t="inlineStr">
        <is>
          <t>Simulado 02</t>
        </is>
      </c>
      <c r="B188" s="8" t="n">
        <v>7</v>
      </c>
      <c r="C188" s="8" t="inlineStr">
        <is>
          <t>10ª Fase</t>
        </is>
      </c>
      <c r="D188" s="8" t="inlineStr">
        <is>
          <t>C</t>
        </is>
      </c>
      <c r="E188" s="8" t="n">
        <v>31</v>
      </c>
      <c r="F188" s="8" t="n">
        <v>26</v>
      </c>
      <c r="G188" s="9">
        <f>IF(E188=0,"",F188/E188)</f>
        <v/>
      </c>
      <c r="H188" s="7" t="inlineStr">
        <is>
          <t>OK</t>
        </is>
      </c>
    </row>
    <row r="189">
      <c r="A189" s="10" t="inlineStr">
        <is>
          <t>Simulado 02</t>
        </is>
      </c>
      <c r="B189" s="11" t="n">
        <v>7</v>
      </c>
      <c r="C189" s="11" t="inlineStr">
        <is>
          <t>11ª Fase</t>
        </is>
      </c>
      <c r="D189" s="11" t="inlineStr">
        <is>
          <t>C</t>
        </is>
      </c>
      <c r="E189" s="11" t="n">
        <v>29</v>
      </c>
      <c r="F189" s="11" t="n">
        <v>23</v>
      </c>
      <c r="G189" s="12">
        <f>IF(E189=0,"",F189/E189)</f>
        <v/>
      </c>
      <c r="H189" s="10" t="inlineStr">
        <is>
          <t>OK</t>
        </is>
      </c>
    </row>
    <row r="190">
      <c r="A190" s="7" t="inlineStr">
        <is>
          <t>Simulado 02</t>
        </is>
      </c>
      <c r="B190" s="8" t="n">
        <v>8</v>
      </c>
      <c r="C190" s="8" t="inlineStr">
        <is>
          <t>6ª Fase</t>
        </is>
      </c>
      <c r="D190" s="8" t="inlineStr">
        <is>
          <t>B</t>
        </is>
      </c>
      <c r="E190" s="8" t="n">
        <v>28</v>
      </c>
      <c r="F190" s="8" t="n">
        <v>21</v>
      </c>
      <c r="G190" s="9">
        <f>IF(E190=0,"",F190/E190)</f>
        <v/>
      </c>
      <c r="H190" s="7" t="inlineStr">
        <is>
          <t>OK</t>
        </is>
      </c>
    </row>
    <row r="191">
      <c r="A191" s="10" t="inlineStr">
        <is>
          <t>Simulado 02</t>
        </is>
      </c>
      <c r="B191" s="11" t="n">
        <v>8</v>
      </c>
      <c r="C191" s="11" t="inlineStr">
        <is>
          <t>7ª Fase</t>
        </is>
      </c>
      <c r="D191" s="11" t="inlineStr">
        <is>
          <t>B</t>
        </is>
      </c>
      <c r="E191" s="11" t="n">
        <v>32</v>
      </c>
      <c r="F191" s="11" t="n">
        <v>22</v>
      </c>
      <c r="G191" s="12">
        <f>IF(E191=0,"",F191/E191)</f>
        <v/>
      </c>
      <c r="H191" s="10" t="inlineStr">
        <is>
          <t>OK</t>
        </is>
      </c>
    </row>
    <row r="192">
      <c r="A192" s="7" t="inlineStr">
        <is>
          <t>Simulado 02</t>
        </is>
      </c>
      <c r="B192" s="8" t="n">
        <v>8</v>
      </c>
      <c r="C192" s="8" t="inlineStr">
        <is>
          <t>10ª Fase</t>
        </is>
      </c>
      <c r="D192" s="8" t="inlineStr">
        <is>
          <t>B</t>
        </is>
      </c>
      <c r="E192" s="8" t="n">
        <v>31</v>
      </c>
      <c r="F192" s="8" t="n">
        <v>25</v>
      </c>
      <c r="G192" s="9">
        <f>IF(E192=0,"",F192/E192)</f>
        <v/>
      </c>
      <c r="H192" s="7" t="inlineStr">
        <is>
          <t>OK</t>
        </is>
      </c>
    </row>
    <row r="193">
      <c r="A193" s="10" t="inlineStr">
        <is>
          <t>Simulado 02</t>
        </is>
      </c>
      <c r="B193" s="11" t="n">
        <v>8</v>
      </c>
      <c r="C193" s="11" t="inlineStr">
        <is>
          <t>11ª Fase</t>
        </is>
      </c>
      <c r="D193" s="11" t="inlineStr">
        <is>
          <t>B</t>
        </is>
      </c>
      <c r="E193" s="11" t="n">
        <v>29</v>
      </c>
      <c r="F193" s="11" t="n">
        <v>24</v>
      </c>
      <c r="G193" s="12">
        <f>IF(E193=0,"",F193/E193)</f>
        <v/>
      </c>
      <c r="H193" s="10" t="inlineStr">
        <is>
          <t>OK</t>
        </is>
      </c>
    </row>
    <row r="194">
      <c r="A194" s="7" t="inlineStr">
        <is>
          <t>Simulado 02</t>
        </is>
      </c>
      <c r="B194" s="8" t="n">
        <v>9</v>
      </c>
      <c r="C194" s="8" t="inlineStr">
        <is>
          <t>6ª Fase</t>
        </is>
      </c>
      <c r="D194" s="8" t="inlineStr">
        <is>
          <t>D</t>
        </is>
      </c>
      <c r="E194" s="8" t="n">
        <v>28</v>
      </c>
      <c r="F194" s="8" t="n">
        <v>21</v>
      </c>
      <c r="G194" s="9">
        <f>IF(E194=0,"",F194/E194)</f>
        <v/>
      </c>
      <c r="H194" s="7" t="inlineStr">
        <is>
          <t>OK</t>
        </is>
      </c>
    </row>
    <row r="195">
      <c r="A195" s="10" t="inlineStr">
        <is>
          <t>Simulado 02</t>
        </is>
      </c>
      <c r="B195" s="11" t="n">
        <v>9</v>
      </c>
      <c r="C195" s="11" t="inlineStr">
        <is>
          <t>7ª Fase</t>
        </is>
      </c>
      <c r="D195" s="11" t="inlineStr">
        <is>
          <t>D</t>
        </is>
      </c>
      <c r="E195" s="11" t="n">
        <v>32</v>
      </c>
      <c r="F195" s="11" t="n">
        <v>27</v>
      </c>
      <c r="G195" s="12">
        <f>IF(E195=0,"",F195/E195)</f>
        <v/>
      </c>
      <c r="H195" s="10" t="inlineStr">
        <is>
          <t>OK</t>
        </is>
      </c>
    </row>
    <row r="196">
      <c r="A196" s="7" t="inlineStr">
        <is>
          <t>Simulado 02</t>
        </is>
      </c>
      <c r="B196" s="8" t="n">
        <v>9</v>
      </c>
      <c r="C196" s="8" t="inlineStr">
        <is>
          <t>10ª Fase</t>
        </is>
      </c>
      <c r="D196" s="8" t="inlineStr">
        <is>
          <t>D</t>
        </is>
      </c>
      <c r="E196" s="8" t="n">
        <v>31</v>
      </c>
      <c r="F196" s="8" t="n">
        <v>23</v>
      </c>
      <c r="G196" s="9">
        <f>IF(E196=0,"",F196/E196)</f>
        <v/>
      </c>
      <c r="H196" s="7" t="inlineStr">
        <is>
          <t>OK</t>
        </is>
      </c>
    </row>
    <row r="197">
      <c r="A197" s="10" t="inlineStr">
        <is>
          <t>Simulado 02</t>
        </is>
      </c>
      <c r="B197" s="11" t="n">
        <v>9</v>
      </c>
      <c r="C197" s="11" t="inlineStr">
        <is>
          <t>11ª Fase</t>
        </is>
      </c>
      <c r="D197" s="11" t="inlineStr">
        <is>
          <t>D</t>
        </is>
      </c>
      <c r="E197" s="11" t="n">
        <v>29</v>
      </c>
      <c r="F197" s="11" t="n">
        <v>23</v>
      </c>
      <c r="G197" s="12">
        <f>IF(E197=0,"",F197/E197)</f>
        <v/>
      </c>
      <c r="H197" s="10" t="inlineStr">
        <is>
          <t>OK</t>
        </is>
      </c>
    </row>
    <row r="198">
      <c r="A198" s="7" t="inlineStr">
        <is>
          <t>Simulado 02</t>
        </is>
      </c>
      <c r="B198" s="8" t="n">
        <v>10</v>
      </c>
      <c r="C198" s="8" t="inlineStr">
        <is>
          <t>6ª Fase</t>
        </is>
      </c>
      <c r="D198" s="8" t="inlineStr">
        <is>
          <t>A</t>
        </is>
      </c>
      <c r="E198" s="8" t="n">
        <v>28</v>
      </c>
      <c r="F198" s="8" t="n">
        <v>10</v>
      </c>
      <c r="G198" s="9">
        <f>IF(E198=0,"",F198/E198)</f>
        <v/>
      </c>
      <c r="H198" s="7" t="inlineStr">
        <is>
          <t>OK</t>
        </is>
      </c>
    </row>
    <row r="199">
      <c r="A199" s="10" t="inlineStr">
        <is>
          <t>Simulado 02</t>
        </is>
      </c>
      <c r="B199" s="11" t="n">
        <v>10</v>
      </c>
      <c r="C199" s="11" t="inlineStr">
        <is>
          <t>7ª Fase</t>
        </is>
      </c>
      <c r="D199" s="11" t="inlineStr">
        <is>
          <t>A</t>
        </is>
      </c>
      <c r="E199" s="11" t="n">
        <v>32</v>
      </c>
      <c r="F199" s="11" t="n">
        <v>6</v>
      </c>
      <c r="G199" s="12">
        <f>IF(E199=0,"",F199/E199)</f>
        <v/>
      </c>
      <c r="H199" s="10" t="inlineStr">
        <is>
          <t>OK</t>
        </is>
      </c>
    </row>
    <row r="200">
      <c r="A200" s="7" t="inlineStr">
        <is>
          <t>Simulado 02</t>
        </is>
      </c>
      <c r="B200" s="8" t="n">
        <v>10</v>
      </c>
      <c r="C200" s="8" t="inlineStr">
        <is>
          <t>10ª Fase</t>
        </is>
      </c>
      <c r="D200" s="8" t="inlineStr">
        <is>
          <t>A</t>
        </is>
      </c>
      <c r="E200" s="8" t="n">
        <v>31</v>
      </c>
      <c r="F200" s="8" t="n">
        <v>9</v>
      </c>
      <c r="G200" s="9">
        <f>IF(E200=0,"",F200/E200)</f>
        <v/>
      </c>
      <c r="H200" s="7" t="inlineStr">
        <is>
          <t>OK</t>
        </is>
      </c>
    </row>
    <row r="201">
      <c r="A201" s="10" t="inlineStr">
        <is>
          <t>Simulado 02</t>
        </is>
      </c>
      <c r="B201" s="11" t="n">
        <v>10</v>
      </c>
      <c r="C201" s="11" t="inlineStr">
        <is>
          <t>11ª Fase</t>
        </is>
      </c>
      <c r="D201" s="11" t="inlineStr">
        <is>
          <t>A</t>
        </is>
      </c>
      <c r="E201" s="11" t="n">
        <v>29</v>
      </c>
      <c r="F201" s="11" t="n">
        <v>5</v>
      </c>
      <c r="G201" s="12">
        <f>IF(E201=0,"",F201/E201)</f>
        <v/>
      </c>
      <c r="H201" s="10" t="inlineStr">
        <is>
          <t>OK</t>
        </is>
      </c>
    </row>
    <row r="202">
      <c r="A202" s="7" t="inlineStr">
        <is>
          <t>Simulado 02</t>
        </is>
      </c>
      <c r="B202" s="8" t="n">
        <v>11</v>
      </c>
      <c r="C202" s="8" t="inlineStr">
        <is>
          <t>6ª Fase</t>
        </is>
      </c>
      <c r="D202" s="8" t="inlineStr">
        <is>
          <t>D</t>
        </is>
      </c>
      <c r="E202" s="8" t="n">
        <v>28</v>
      </c>
      <c r="F202" s="8" t="n">
        <v>10</v>
      </c>
      <c r="G202" s="9">
        <f>IF(E202=0,"",F202/E202)</f>
        <v/>
      </c>
      <c r="H202" s="7" t="inlineStr">
        <is>
          <t>OK</t>
        </is>
      </c>
    </row>
    <row r="203">
      <c r="A203" s="10" t="inlineStr">
        <is>
          <t>Simulado 02</t>
        </is>
      </c>
      <c r="B203" s="11" t="n">
        <v>11</v>
      </c>
      <c r="C203" s="11" t="inlineStr">
        <is>
          <t>7ª Fase</t>
        </is>
      </c>
      <c r="D203" s="11" t="inlineStr">
        <is>
          <t>D</t>
        </is>
      </c>
      <c r="E203" s="11" t="n">
        <v>32</v>
      </c>
      <c r="F203" s="11" t="n">
        <v>12</v>
      </c>
      <c r="G203" s="12">
        <f>IF(E203=0,"",F203/E203)</f>
        <v/>
      </c>
      <c r="H203" s="10" t="inlineStr">
        <is>
          <t>OK</t>
        </is>
      </c>
    </row>
    <row r="204">
      <c r="A204" s="7" t="inlineStr">
        <is>
          <t>Simulado 02</t>
        </is>
      </c>
      <c r="B204" s="8" t="n">
        <v>11</v>
      </c>
      <c r="C204" s="8" t="inlineStr">
        <is>
          <t>10ª Fase</t>
        </is>
      </c>
      <c r="D204" s="8" t="inlineStr">
        <is>
          <t>D</t>
        </is>
      </c>
      <c r="E204" s="8" t="n">
        <v>31</v>
      </c>
      <c r="F204" s="8" t="n">
        <v>19</v>
      </c>
      <c r="G204" s="9">
        <f>IF(E204=0,"",F204/E204)</f>
        <v/>
      </c>
      <c r="H204" s="7" t="inlineStr">
        <is>
          <t>OK</t>
        </is>
      </c>
    </row>
    <row r="205">
      <c r="A205" s="10" t="inlineStr">
        <is>
          <t>Simulado 02</t>
        </is>
      </c>
      <c r="B205" s="11" t="n">
        <v>11</v>
      </c>
      <c r="C205" s="11" t="inlineStr">
        <is>
          <t>11ª Fase</t>
        </is>
      </c>
      <c r="D205" s="11" t="inlineStr">
        <is>
          <t>D</t>
        </is>
      </c>
      <c r="E205" s="11" t="n">
        <v>29</v>
      </c>
      <c r="F205" s="11" t="n">
        <v>21</v>
      </c>
      <c r="G205" s="12">
        <f>IF(E205=0,"",F205/E205)</f>
        <v/>
      </c>
      <c r="H205" s="10" t="inlineStr">
        <is>
          <t>OK</t>
        </is>
      </c>
    </row>
    <row r="206">
      <c r="A206" s="7" t="inlineStr">
        <is>
          <t>Simulado 02</t>
        </is>
      </c>
      <c r="B206" s="8" t="n">
        <v>12</v>
      </c>
      <c r="C206" s="8" t="inlineStr">
        <is>
          <t>6ª Fase</t>
        </is>
      </c>
      <c r="D206" s="8" t="inlineStr">
        <is>
          <t>C</t>
        </is>
      </c>
      <c r="E206" s="8" t="n">
        <v>28</v>
      </c>
      <c r="F206" s="8" t="n">
        <v>10</v>
      </c>
      <c r="G206" s="9">
        <f>IF(E206=0,"",F206/E206)</f>
        <v/>
      </c>
      <c r="H206" s="7" t="inlineStr">
        <is>
          <t>OK</t>
        </is>
      </c>
    </row>
    <row r="207">
      <c r="A207" s="10" t="inlineStr">
        <is>
          <t>Simulado 02</t>
        </is>
      </c>
      <c r="B207" s="11" t="n">
        <v>12</v>
      </c>
      <c r="C207" s="11" t="inlineStr">
        <is>
          <t>7ª Fase</t>
        </is>
      </c>
      <c r="D207" s="11" t="inlineStr">
        <is>
          <t>C</t>
        </is>
      </c>
      <c r="E207" s="11" t="n">
        <v>32</v>
      </c>
      <c r="F207" s="11" t="n">
        <v>8</v>
      </c>
      <c r="G207" s="12">
        <f>IF(E207=0,"",F207/E207)</f>
        <v/>
      </c>
      <c r="H207" s="10" t="inlineStr">
        <is>
          <t>OK</t>
        </is>
      </c>
    </row>
    <row r="208">
      <c r="A208" s="7" t="inlineStr">
        <is>
          <t>Simulado 02</t>
        </is>
      </c>
      <c r="B208" s="8" t="n">
        <v>12</v>
      </c>
      <c r="C208" s="8" t="inlineStr">
        <is>
          <t>10ª Fase</t>
        </is>
      </c>
      <c r="D208" s="8" t="inlineStr">
        <is>
          <t>C</t>
        </is>
      </c>
      <c r="E208" s="8" t="n">
        <v>31</v>
      </c>
      <c r="F208" s="8" t="n">
        <v>5</v>
      </c>
      <c r="G208" s="9">
        <f>IF(E208=0,"",F208/E208)</f>
        <v/>
      </c>
      <c r="H208" s="7" t="inlineStr">
        <is>
          <t>OK</t>
        </is>
      </c>
    </row>
    <row r="209">
      <c r="A209" s="10" t="inlineStr">
        <is>
          <t>Simulado 02</t>
        </is>
      </c>
      <c r="B209" s="11" t="n">
        <v>12</v>
      </c>
      <c r="C209" s="11" t="inlineStr">
        <is>
          <t>11ª Fase</t>
        </is>
      </c>
      <c r="D209" s="11" t="inlineStr">
        <is>
          <t>C</t>
        </is>
      </c>
      <c r="E209" s="11" t="n">
        <v>29</v>
      </c>
      <c r="F209" s="11" t="n">
        <v>14</v>
      </c>
      <c r="G209" s="12">
        <f>IF(E209=0,"",F209/E209)</f>
        <v/>
      </c>
      <c r="H209" s="10" t="inlineStr">
        <is>
          <t>OK</t>
        </is>
      </c>
    </row>
    <row r="210">
      <c r="A210" s="7" t="inlineStr">
        <is>
          <t>Simulado 02</t>
        </is>
      </c>
      <c r="B210" s="8" t="n">
        <v>13</v>
      </c>
      <c r="C210" s="8" t="inlineStr">
        <is>
          <t>6ª Fase</t>
        </is>
      </c>
      <c r="D210" s="8" t="inlineStr">
        <is>
          <t>B</t>
        </is>
      </c>
      <c r="E210" s="8" t="n">
        <v>28</v>
      </c>
      <c r="F210" s="8" t="n">
        <v>25</v>
      </c>
      <c r="G210" s="9">
        <f>IF(E210=0,"",F210/E210)</f>
        <v/>
      </c>
      <c r="H210" s="7" t="inlineStr">
        <is>
          <t>OK</t>
        </is>
      </c>
    </row>
    <row r="211">
      <c r="A211" s="10" t="inlineStr">
        <is>
          <t>Simulado 02</t>
        </is>
      </c>
      <c r="B211" s="11" t="n">
        <v>13</v>
      </c>
      <c r="C211" s="11" t="inlineStr">
        <is>
          <t>7ª Fase</t>
        </is>
      </c>
      <c r="D211" s="11" t="inlineStr">
        <is>
          <t>B</t>
        </is>
      </c>
      <c r="E211" s="11" t="n">
        <v>32</v>
      </c>
      <c r="F211" s="11" t="n">
        <v>26</v>
      </c>
      <c r="G211" s="12">
        <f>IF(E211=0,"",F211/E211)</f>
        <v/>
      </c>
      <c r="H211" s="10" t="inlineStr">
        <is>
          <t>OK</t>
        </is>
      </c>
    </row>
    <row r="212">
      <c r="A212" s="7" t="inlineStr">
        <is>
          <t>Simulado 02</t>
        </is>
      </c>
      <c r="B212" s="8" t="n">
        <v>13</v>
      </c>
      <c r="C212" s="8" t="inlineStr">
        <is>
          <t>10ª Fase</t>
        </is>
      </c>
      <c r="D212" s="8" t="inlineStr">
        <is>
          <t>B</t>
        </is>
      </c>
      <c r="E212" s="8" t="n">
        <v>31</v>
      </c>
      <c r="F212" s="8" t="n">
        <v>29</v>
      </c>
      <c r="G212" s="9">
        <f>IF(E212=0,"",F212/E212)</f>
        <v/>
      </c>
      <c r="H212" s="7" t="inlineStr">
        <is>
          <t>OK</t>
        </is>
      </c>
    </row>
    <row r="213">
      <c r="A213" s="10" t="inlineStr">
        <is>
          <t>Simulado 02</t>
        </is>
      </c>
      <c r="B213" s="11" t="n">
        <v>13</v>
      </c>
      <c r="C213" s="11" t="inlineStr">
        <is>
          <t>11ª Fase</t>
        </is>
      </c>
      <c r="D213" s="11" t="inlineStr">
        <is>
          <t>B</t>
        </is>
      </c>
      <c r="E213" s="11" t="n">
        <v>29</v>
      </c>
      <c r="F213" s="11" t="n">
        <v>25</v>
      </c>
      <c r="G213" s="12">
        <f>IF(E213=0,"",F213/E213)</f>
        <v/>
      </c>
      <c r="H213" s="10" t="inlineStr">
        <is>
          <t>OK</t>
        </is>
      </c>
    </row>
    <row r="214">
      <c r="A214" s="7" t="inlineStr">
        <is>
          <t>Simulado 02</t>
        </is>
      </c>
      <c r="B214" s="8" t="n">
        <v>14</v>
      </c>
      <c r="C214" s="8" t="inlineStr">
        <is>
          <t>6ª Fase</t>
        </is>
      </c>
      <c r="D214" s="8" t="inlineStr">
        <is>
          <t>A</t>
        </is>
      </c>
      <c r="E214" s="8" t="n">
        <v>28</v>
      </c>
      <c r="F214" s="8" t="n">
        <v>14</v>
      </c>
      <c r="G214" s="9">
        <f>IF(E214=0,"",F214/E214)</f>
        <v/>
      </c>
      <c r="H214" s="7" t="inlineStr">
        <is>
          <t>OK</t>
        </is>
      </c>
    </row>
    <row r="215">
      <c r="A215" s="10" t="inlineStr">
        <is>
          <t>Simulado 02</t>
        </is>
      </c>
      <c r="B215" s="11" t="n">
        <v>14</v>
      </c>
      <c r="C215" s="11" t="inlineStr">
        <is>
          <t>7ª Fase</t>
        </is>
      </c>
      <c r="D215" s="11" t="inlineStr">
        <is>
          <t>A</t>
        </is>
      </c>
      <c r="E215" s="11" t="n">
        <v>32</v>
      </c>
      <c r="F215" s="11" t="n">
        <v>21</v>
      </c>
      <c r="G215" s="12">
        <f>IF(E215=0,"",F215/E215)</f>
        <v/>
      </c>
      <c r="H215" s="10" t="inlineStr">
        <is>
          <t>OK</t>
        </is>
      </c>
    </row>
    <row r="216">
      <c r="A216" s="7" t="inlineStr">
        <is>
          <t>Simulado 02</t>
        </is>
      </c>
      <c r="B216" s="8" t="n">
        <v>14</v>
      </c>
      <c r="C216" s="8" t="inlineStr">
        <is>
          <t>10ª Fase</t>
        </is>
      </c>
      <c r="D216" s="8" t="inlineStr">
        <is>
          <t>A</t>
        </is>
      </c>
      <c r="E216" s="8" t="n">
        <v>31</v>
      </c>
      <c r="F216" s="8" t="n">
        <v>27</v>
      </c>
      <c r="G216" s="9">
        <f>IF(E216=0,"",F216/E216)</f>
        <v/>
      </c>
      <c r="H216" s="7" t="inlineStr">
        <is>
          <t>OK</t>
        </is>
      </c>
    </row>
    <row r="217">
      <c r="A217" s="10" t="inlineStr">
        <is>
          <t>Simulado 02</t>
        </is>
      </c>
      <c r="B217" s="11" t="n">
        <v>14</v>
      </c>
      <c r="C217" s="11" t="inlineStr">
        <is>
          <t>11ª Fase</t>
        </is>
      </c>
      <c r="D217" s="11" t="inlineStr">
        <is>
          <t>A</t>
        </is>
      </c>
      <c r="E217" s="11" t="n">
        <v>29</v>
      </c>
      <c r="F217" s="11" t="n">
        <v>26</v>
      </c>
      <c r="G217" s="12">
        <f>IF(E217=0,"",F217/E217)</f>
        <v/>
      </c>
      <c r="H217" s="10" t="inlineStr">
        <is>
          <t>OK</t>
        </is>
      </c>
    </row>
    <row r="218">
      <c r="A218" s="7" t="inlineStr">
        <is>
          <t>Simulado 02</t>
        </is>
      </c>
      <c r="B218" s="8" t="n">
        <v>15</v>
      </c>
      <c r="C218" s="8" t="inlineStr">
        <is>
          <t>6ª Fase</t>
        </is>
      </c>
      <c r="D218" s="8" t="inlineStr">
        <is>
          <t>B</t>
        </is>
      </c>
      <c r="E218" s="8" t="n">
        <v>28</v>
      </c>
      <c r="F218" s="8" t="n">
        <v>22</v>
      </c>
      <c r="G218" s="9">
        <f>IF(E218=0,"",F218/E218)</f>
        <v/>
      </c>
      <c r="H218" s="7" t="inlineStr">
        <is>
          <t>OK</t>
        </is>
      </c>
    </row>
    <row r="219">
      <c r="A219" s="10" t="inlineStr">
        <is>
          <t>Simulado 02</t>
        </is>
      </c>
      <c r="B219" s="11" t="n">
        <v>15</v>
      </c>
      <c r="C219" s="11" t="inlineStr">
        <is>
          <t>7ª Fase</t>
        </is>
      </c>
      <c r="D219" s="11" t="inlineStr">
        <is>
          <t>B</t>
        </is>
      </c>
      <c r="E219" s="11" t="n">
        <v>32</v>
      </c>
      <c r="F219" s="11" t="n">
        <v>22</v>
      </c>
      <c r="G219" s="12">
        <f>IF(E219=0,"",F219/E219)</f>
        <v/>
      </c>
      <c r="H219" s="10" t="inlineStr">
        <is>
          <t>OK</t>
        </is>
      </c>
    </row>
    <row r="220">
      <c r="A220" s="7" t="inlineStr">
        <is>
          <t>Simulado 02</t>
        </is>
      </c>
      <c r="B220" s="8" t="n">
        <v>15</v>
      </c>
      <c r="C220" s="8" t="inlineStr">
        <is>
          <t>10ª Fase</t>
        </is>
      </c>
      <c r="D220" s="8" t="inlineStr">
        <is>
          <t>B</t>
        </is>
      </c>
      <c r="E220" s="8" t="n">
        <v>31</v>
      </c>
      <c r="F220" s="8" t="n">
        <v>22</v>
      </c>
      <c r="G220" s="9">
        <f>IF(E220=0,"",F220/E220)</f>
        <v/>
      </c>
      <c r="H220" s="7" t="inlineStr">
        <is>
          <t>OK</t>
        </is>
      </c>
    </row>
    <row r="221">
      <c r="A221" s="10" t="inlineStr">
        <is>
          <t>Simulado 02</t>
        </is>
      </c>
      <c r="B221" s="11" t="n">
        <v>15</v>
      </c>
      <c r="C221" s="11" t="inlineStr">
        <is>
          <t>11ª Fase</t>
        </is>
      </c>
      <c r="D221" s="11" t="inlineStr">
        <is>
          <t>B</t>
        </is>
      </c>
      <c r="E221" s="11" t="n">
        <v>29</v>
      </c>
      <c r="F221" s="11" t="n">
        <v>17</v>
      </c>
      <c r="G221" s="12">
        <f>IF(E221=0,"",F221/E221)</f>
        <v/>
      </c>
      <c r="H221" s="10" t="inlineStr">
        <is>
          <t>OK</t>
        </is>
      </c>
    </row>
    <row r="222">
      <c r="A222" s="7" t="inlineStr">
        <is>
          <t>Simulado 02</t>
        </is>
      </c>
      <c r="B222" s="8" t="n">
        <v>16</v>
      </c>
      <c r="C222" s="8" t="inlineStr">
        <is>
          <t>6ª Fase</t>
        </is>
      </c>
      <c r="D222" s="8" t="inlineStr">
        <is>
          <t>B</t>
        </is>
      </c>
      <c r="E222" s="8" t="n">
        <v>28</v>
      </c>
      <c r="F222" s="8" t="n">
        <v>8</v>
      </c>
      <c r="G222" s="9">
        <f>IF(E222=0,"",F222/E222)</f>
        <v/>
      </c>
      <c r="H222" s="7" t="inlineStr">
        <is>
          <t>OK</t>
        </is>
      </c>
    </row>
    <row r="223">
      <c r="A223" s="10" t="inlineStr">
        <is>
          <t>Simulado 02</t>
        </is>
      </c>
      <c r="B223" s="11" t="n">
        <v>16</v>
      </c>
      <c r="C223" s="11" t="inlineStr">
        <is>
          <t>7ª Fase</t>
        </is>
      </c>
      <c r="D223" s="11" t="inlineStr">
        <is>
          <t>B</t>
        </is>
      </c>
      <c r="E223" s="11" t="n">
        <v>32</v>
      </c>
      <c r="F223" s="11" t="n">
        <v>4</v>
      </c>
      <c r="G223" s="12">
        <f>IF(E223=0,"",F223/E223)</f>
        <v/>
      </c>
      <c r="H223" s="10" t="inlineStr">
        <is>
          <t>OK</t>
        </is>
      </c>
    </row>
    <row r="224">
      <c r="A224" s="7" t="inlineStr">
        <is>
          <t>Simulado 02</t>
        </is>
      </c>
      <c r="B224" s="8" t="n">
        <v>16</v>
      </c>
      <c r="C224" s="8" t="inlineStr">
        <is>
          <t>10ª Fase</t>
        </is>
      </c>
      <c r="D224" s="8" t="inlineStr">
        <is>
          <t>B</t>
        </is>
      </c>
      <c r="E224" s="8" t="n">
        <v>31</v>
      </c>
      <c r="F224" s="8" t="n">
        <v>8</v>
      </c>
      <c r="G224" s="9">
        <f>IF(E224=0,"",F224/E224)</f>
        <v/>
      </c>
      <c r="H224" s="7" t="inlineStr">
        <is>
          <t>OK</t>
        </is>
      </c>
    </row>
    <row r="225">
      <c r="A225" s="10" t="inlineStr">
        <is>
          <t>Simulado 02</t>
        </is>
      </c>
      <c r="B225" s="11" t="n">
        <v>16</v>
      </c>
      <c r="C225" s="11" t="inlineStr">
        <is>
          <t>11ª Fase</t>
        </is>
      </c>
      <c r="D225" s="11" t="inlineStr">
        <is>
          <t>B</t>
        </is>
      </c>
      <c r="E225" s="11" t="n">
        <v>29</v>
      </c>
      <c r="F225" s="11" t="n">
        <v>5</v>
      </c>
      <c r="G225" s="12">
        <f>IF(E225=0,"",F225/E225)</f>
        <v/>
      </c>
      <c r="H225" s="10" t="inlineStr">
        <is>
          <t>OK</t>
        </is>
      </c>
    </row>
    <row r="226">
      <c r="A226" s="7" t="inlineStr">
        <is>
          <t>Simulado 02</t>
        </is>
      </c>
      <c r="B226" s="8" t="n">
        <v>17</v>
      </c>
      <c r="C226" s="8" t="inlineStr">
        <is>
          <t>6ª Fase</t>
        </is>
      </c>
      <c r="D226" s="8" t="inlineStr">
        <is>
          <t>A</t>
        </is>
      </c>
      <c r="E226" s="8" t="n">
        <v>28</v>
      </c>
      <c r="F226" s="8" t="n">
        <v>13</v>
      </c>
      <c r="G226" s="9">
        <f>IF(E226=0,"",F226/E226)</f>
        <v/>
      </c>
      <c r="H226" s="7" t="inlineStr">
        <is>
          <t>OK</t>
        </is>
      </c>
    </row>
    <row r="227">
      <c r="A227" s="10" t="inlineStr">
        <is>
          <t>Simulado 02</t>
        </is>
      </c>
      <c r="B227" s="11" t="n">
        <v>17</v>
      </c>
      <c r="C227" s="11" t="inlineStr">
        <is>
          <t>7ª Fase</t>
        </is>
      </c>
      <c r="D227" s="11" t="inlineStr">
        <is>
          <t>A</t>
        </is>
      </c>
      <c r="E227" s="11" t="n">
        <v>32</v>
      </c>
      <c r="F227" s="11" t="n">
        <v>13</v>
      </c>
      <c r="G227" s="12">
        <f>IF(E227=0,"",F227/E227)</f>
        <v/>
      </c>
      <c r="H227" s="10" t="inlineStr">
        <is>
          <t>OK</t>
        </is>
      </c>
    </row>
    <row r="228">
      <c r="A228" s="7" t="inlineStr">
        <is>
          <t>Simulado 02</t>
        </is>
      </c>
      <c r="B228" s="8" t="n">
        <v>17</v>
      </c>
      <c r="C228" s="8" t="inlineStr">
        <is>
          <t>10ª Fase</t>
        </is>
      </c>
      <c r="D228" s="8" t="inlineStr">
        <is>
          <t>A</t>
        </is>
      </c>
      <c r="E228" s="8" t="n">
        <v>31</v>
      </c>
      <c r="F228" s="8" t="n">
        <v>19</v>
      </c>
      <c r="G228" s="9">
        <f>IF(E228=0,"",F228/E228)</f>
        <v/>
      </c>
      <c r="H228" s="7" t="inlineStr">
        <is>
          <t>OK</t>
        </is>
      </c>
    </row>
    <row r="229">
      <c r="A229" s="10" t="inlineStr">
        <is>
          <t>Simulado 02</t>
        </is>
      </c>
      <c r="B229" s="11" t="n">
        <v>17</v>
      </c>
      <c r="C229" s="11" t="inlineStr">
        <is>
          <t>11ª Fase</t>
        </is>
      </c>
      <c r="D229" s="11" t="inlineStr">
        <is>
          <t>A</t>
        </is>
      </c>
      <c r="E229" s="11" t="n">
        <v>29</v>
      </c>
      <c r="F229" s="11" t="n">
        <v>19</v>
      </c>
      <c r="G229" s="12">
        <f>IF(E229=0,"",F229/E229)</f>
        <v/>
      </c>
      <c r="H229" s="10" t="inlineStr">
        <is>
          <t>OK</t>
        </is>
      </c>
    </row>
    <row r="230">
      <c r="A230" s="7" t="inlineStr">
        <is>
          <t>Simulado 02</t>
        </is>
      </c>
      <c r="B230" s="8" t="n">
        <v>18</v>
      </c>
      <c r="C230" s="8" t="inlineStr">
        <is>
          <t>6ª Fase</t>
        </is>
      </c>
      <c r="D230" s="8" t="inlineStr">
        <is>
          <t>C</t>
        </is>
      </c>
      <c r="E230" s="8" t="n">
        <v>28</v>
      </c>
      <c r="F230" s="8" t="n">
        <v>19</v>
      </c>
      <c r="G230" s="9">
        <f>IF(E230=0,"",F230/E230)</f>
        <v/>
      </c>
      <c r="H230" s="7" t="inlineStr">
        <is>
          <t>OK</t>
        </is>
      </c>
    </row>
    <row r="231">
      <c r="A231" s="10" t="inlineStr">
        <is>
          <t>Simulado 02</t>
        </is>
      </c>
      <c r="B231" s="11" t="n">
        <v>18</v>
      </c>
      <c r="C231" s="11" t="inlineStr">
        <is>
          <t>7ª Fase</t>
        </is>
      </c>
      <c r="D231" s="11" t="inlineStr">
        <is>
          <t>C</t>
        </is>
      </c>
      <c r="E231" s="11" t="n">
        <v>32</v>
      </c>
      <c r="F231" s="11" t="n">
        <v>20</v>
      </c>
      <c r="G231" s="12">
        <f>IF(E231=0,"",F231/E231)</f>
        <v/>
      </c>
      <c r="H231" s="10" t="inlineStr">
        <is>
          <t>OK</t>
        </is>
      </c>
    </row>
    <row r="232">
      <c r="A232" s="7" t="inlineStr">
        <is>
          <t>Simulado 02</t>
        </is>
      </c>
      <c r="B232" s="8" t="n">
        <v>18</v>
      </c>
      <c r="C232" s="8" t="inlineStr">
        <is>
          <t>10ª Fase</t>
        </is>
      </c>
      <c r="D232" s="8" t="inlineStr">
        <is>
          <t>C</t>
        </is>
      </c>
      <c r="E232" s="8" t="n">
        <v>31</v>
      </c>
      <c r="F232" s="8" t="n">
        <v>20</v>
      </c>
      <c r="G232" s="9">
        <f>IF(E232=0,"",F232/E232)</f>
        <v/>
      </c>
      <c r="H232" s="7" t="inlineStr">
        <is>
          <t>OK</t>
        </is>
      </c>
    </row>
    <row r="233">
      <c r="A233" s="10" t="inlineStr">
        <is>
          <t>Simulado 02</t>
        </is>
      </c>
      <c r="B233" s="11" t="n">
        <v>18</v>
      </c>
      <c r="C233" s="11" t="inlineStr">
        <is>
          <t>11ª Fase</t>
        </is>
      </c>
      <c r="D233" s="11" t="inlineStr">
        <is>
          <t>C</t>
        </is>
      </c>
      <c r="E233" s="11" t="n">
        <v>29</v>
      </c>
      <c r="F233" s="11" t="n">
        <v>24</v>
      </c>
      <c r="G233" s="12">
        <f>IF(E233=0,"",F233/E233)</f>
        <v/>
      </c>
      <c r="H233" s="10" t="inlineStr">
        <is>
          <t>OK</t>
        </is>
      </c>
    </row>
    <row r="234">
      <c r="A234" s="7" t="inlineStr">
        <is>
          <t>Simulado 02</t>
        </is>
      </c>
      <c r="B234" s="8" t="n">
        <v>19</v>
      </c>
      <c r="C234" s="8" t="inlineStr">
        <is>
          <t>6ª Fase</t>
        </is>
      </c>
      <c r="D234" s="8" t="inlineStr">
        <is>
          <t>C</t>
        </is>
      </c>
      <c r="E234" s="8" t="n">
        <v>28</v>
      </c>
      <c r="F234" s="8" t="n">
        <v>17</v>
      </c>
      <c r="G234" s="9">
        <f>IF(E234=0,"",F234/E234)</f>
        <v/>
      </c>
      <c r="H234" s="7" t="inlineStr">
        <is>
          <t>OK</t>
        </is>
      </c>
    </row>
    <row r="235">
      <c r="A235" s="10" t="inlineStr">
        <is>
          <t>Simulado 02</t>
        </is>
      </c>
      <c r="B235" s="11" t="n">
        <v>19</v>
      </c>
      <c r="C235" s="11" t="inlineStr">
        <is>
          <t>7ª Fase</t>
        </is>
      </c>
      <c r="D235" s="11" t="inlineStr">
        <is>
          <t>C</t>
        </is>
      </c>
      <c r="E235" s="11" t="n">
        <v>32</v>
      </c>
      <c r="F235" s="11" t="n">
        <v>20</v>
      </c>
      <c r="G235" s="12">
        <f>IF(E235=0,"",F235/E235)</f>
        <v/>
      </c>
      <c r="H235" s="10" t="inlineStr">
        <is>
          <t>OK</t>
        </is>
      </c>
    </row>
    <row r="236">
      <c r="A236" s="7" t="inlineStr">
        <is>
          <t>Simulado 02</t>
        </is>
      </c>
      <c r="B236" s="8" t="n">
        <v>19</v>
      </c>
      <c r="C236" s="8" t="inlineStr">
        <is>
          <t>10ª Fase</t>
        </is>
      </c>
      <c r="D236" s="8" t="inlineStr">
        <is>
          <t>C</t>
        </is>
      </c>
      <c r="E236" s="8" t="n">
        <v>31</v>
      </c>
      <c r="F236" s="8" t="n">
        <v>23</v>
      </c>
      <c r="G236" s="9">
        <f>IF(E236=0,"",F236/E236)</f>
        <v/>
      </c>
      <c r="H236" s="7" t="inlineStr">
        <is>
          <t>OK</t>
        </is>
      </c>
    </row>
    <row r="237">
      <c r="A237" s="10" t="inlineStr">
        <is>
          <t>Simulado 02</t>
        </is>
      </c>
      <c r="B237" s="11" t="n">
        <v>19</v>
      </c>
      <c r="C237" s="11" t="inlineStr">
        <is>
          <t>11ª Fase</t>
        </is>
      </c>
      <c r="D237" s="11" t="inlineStr">
        <is>
          <t>C</t>
        </is>
      </c>
      <c r="E237" s="11" t="n">
        <v>29</v>
      </c>
      <c r="F237" s="11" t="n">
        <v>24</v>
      </c>
      <c r="G237" s="12">
        <f>IF(E237=0,"",F237/E237)</f>
        <v/>
      </c>
      <c r="H237" s="10" t="inlineStr">
        <is>
          <t>OK</t>
        </is>
      </c>
    </row>
    <row r="238">
      <c r="A238" s="7" t="inlineStr">
        <is>
          <t>Simulado 02</t>
        </is>
      </c>
      <c r="B238" s="8" t="n">
        <v>20</v>
      </c>
      <c r="C238" s="8" t="inlineStr">
        <is>
          <t>6ª Fase</t>
        </is>
      </c>
      <c r="D238" s="8" t="inlineStr">
        <is>
          <t>B</t>
        </is>
      </c>
      <c r="E238" s="8" t="n">
        <v>28</v>
      </c>
      <c r="F238" s="8" t="n">
        <v>17</v>
      </c>
      <c r="G238" s="9">
        <f>IF(E238=0,"",F238/E238)</f>
        <v/>
      </c>
      <c r="H238" s="7" t="inlineStr">
        <is>
          <t>OK</t>
        </is>
      </c>
    </row>
    <row r="239">
      <c r="A239" s="10" t="inlineStr">
        <is>
          <t>Simulado 02</t>
        </is>
      </c>
      <c r="B239" s="11" t="n">
        <v>20</v>
      </c>
      <c r="C239" s="11" t="inlineStr">
        <is>
          <t>7ª Fase</t>
        </is>
      </c>
      <c r="D239" s="11" t="inlineStr">
        <is>
          <t>B</t>
        </is>
      </c>
      <c r="E239" s="11" t="n">
        <v>32</v>
      </c>
      <c r="F239" s="11" t="n">
        <v>16</v>
      </c>
      <c r="G239" s="12">
        <f>IF(E239=0,"",F239/E239)</f>
        <v/>
      </c>
      <c r="H239" s="10" t="inlineStr">
        <is>
          <t>OK</t>
        </is>
      </c>
    </row>
    <row r="240">
      <c r="A240" s="7" t="inlineStr">
        <is>
          <t>Simulado 02</t>
        </is>
      </c>
      <c r="B240" s="8" t="n">
        <v>20</v>
      </c>
      <c r="C240" s="8" t="inlineStr">
        <is>
          <t>10ª Fase</t>
        </is>
      </c>
      <c r="D240" s="8" t="inlineStr">
        <is>
          <t>B</t>
        </is>
      </c>
      <c r="E240" s="8" t="n">
        <v>31</v>
      </c>
      <c r="F240" s="8" t="n">
        <v>11</v>
      </c>
      <c r="G240" s="9">
        <f>IF(E240=0,"",F240/E240)</f>
        <v/>
      </c>
      <c r="H240" s="7" t="inlineStr">
        <is>
          <t>OK</t>
        </is>
      </c>
    </row>
    <row r="241">
      <c r="A241" s="10" t="inlineStr">
        <is>
          <t>Simulado 02</t>
        </is>
      </c>
      <c r="B241" s="11" t="n">
        <v>20</v>
      </c>
      <c r="C241" s="11" t="inlineStr">
        <is>
          <t>11ª Fase</t>
        </is>
      </c>
      <c r="D241" s="11" t="inlineStr">
        <is>
          <t>B</t>
        </is>
      </c>
      <c r="E241" s="11" t="n">
        <v>29</v>
      </c>
      <c r="F241" s="11" t="n">
        <v>17</v>
      </c>
      <c r="G241" s="12">
        <f>IF(E241=0,"",F241/E241)</f>
        <v/>
      </c>
      <c r="H241" s="10" t="inlineStr">
        <is>
          <t>OK</t>
        </is>
      </c>
    </row>
    <row r="242">
      <c r="A242" s="7" t="inlineStr">
        <is>
          <t>Simulado 02</t>
        </is>
      </c>
      <c r="B242" s="8" t="n">
        <v>21</v>
      </c>
      <c r="C242" s="8" t="inlineStr">
        <is>
          <t>6ª Fase</t>
        </is>
      </c>
      <c r="D242" s="8" t="inlineStr">
        <is>
          <t>A</t>
        </is>
      </c>
      <c r="E242" s="8" t="n">
        <v>28</v>
      </c>
      <c r="F242" s="8" t="n">
        <v>10</v>
      </c>
      <c r="G242" s="9">
        <f>IF(E242=0,"",F242/E242)</f>
        <v/>
      </c>
      <c r="H242" s="7" t="inlineStr">
        <is>
          <t>OK</t>
        </is>
      </c>
    </row>
    <row r="243">
      <c r="A243" s="10" t="inlineStr">
        <is>
          <t>Simulado 02</t>
        </is>
      </c>
      <c r="B243" s="11" t="n">
        <v>21</v>
      </c>
      <c r="C243" s="11" t="inlineStr">
        <is>
          <t>7ª Fase</t>
        </is>
      </c>
      <c r="D243" s="11" t="inlineStr">
        <is>
          <t>A</t>
        </is>
      </c>
      <c r="E243" s="11" t="n">
        <v>32</v>
      </c>
      <c r="F243" s="11" t="n">
        <v>17</v>
      </c>
      <c r="G243" s="12">
        <f>IF(E243=0,"",F243/E243)</f>
        <v/>
      </c>
      <c r="H243" s="10" t="inlineStr">
        <is>
          <t>OK</t>
        </is>
      </c>
    </row>
    <row r="244">
      <c r="A244" s="7" t="inlineStr">
        <is>
          <t>Simulado 02</t>
        </is>
      </c>
      <c r="B244" s="8" t="n">
        <v>21</v>
      </c>
      <c r="C244" s="8" t="inlineStr">
        <is>
          <t>10ª Fase</t>
        </is>
      </c>
      <c r="D244" s="8" t="inlineStr">
        <is>
          <t>A</t>
        </is>
      </c>
      <c r="E244" s="8" t="n">
        <v>31</v>
      </c>
      <c r="F244" s="8" t="n">
        <v>22</v>
      </c>
      <c r="G244" s="9">
        <f>IF(E244=0,"",F244/E244)</f>
        <v/>
      </c>
      <c r="H244" s="7" t="inlineStr">
        <is>
          <t>OK</t>
        </is>
      </c>
    </row>
    <row r="245">
      <c r="A245" s="10" t="inlineStr">
        <is>
          <t>Simulado 02</t>
        </is>
      </c>
      <c r="B245" s="11" t="n">
        <v>21</v>
      </c>
      <c r="C245" s="11" t="inlineStr">
        <is>
          <t>11ª Fase</t>
        </is>
      </c>
      <c r="D245" s="11" t="inlineStr">
        <is>
          <t>A</t>
        </is>
      </c>
      <c r="E245" s="11" t="n">
        <v>29</v>
      </c>
      <c r="F245" s="11" t="n">
        <v>22</v>
      </c>
      <c r="G245" s="12">
        <f>IF(E245=0,"",F245/E245)</f>
        <v/>
      </c>
      <c r="H245" s="10" t="inlineStr">
        <is>
          <t>OK</t>
        </is>
      </c>
    </row>
    <row r="246">
      <c r="A246" s="7" t="inlineStr">
        <is>
          <t>Simulado 02</t>
        </is>
      </c>
      <c r="B246" s="8" t="n">
        <v>22</v>
      </c>
      <c r="C246" s="8" t="inlineStr">
        <is>
          <t>6ª Fase</t>
        </is>
      </c>
      <c r="D246" s="8" t="inlineStr">
        <is>
          <t>C</t>
        </is>
      </c>
      <c r="E246" s="8" t="n">
        <v>28</v>
      </c>
      <c r="F246" s="8" t="n">
        <v>11</v>
      </c>
      <c r="G246" s="9">
        <f>IF(E246=0,"",F246/E246)</f>
        <v/>
      </c>
      <c r="H246" s="7" t="inlineStr">
        <is>
          <t>OK</t>
        </is>
      </c>
    </row>
    <row r="247">
      <c r="A247" s="10" t="inlineStr">
        <is>
          <t>Simulado 02</t>
        </is>
      </c>
      <c r="B247" s="11" t="n">
        <v>22</v>
      </c>
      <c r="C247" s="11" t="inlineStr">
        <is>
          <t>7ª Fase</t>
        </is>
      </c>
      <c r="D247" s="11" t="inlineStr">
        <is>
          <t>C</t>
        </is>
      </c>
      <c r="E247" s="11" t="n">
        <v>32</v>
      </c>
      <c r="F247" s="11" t="n">
        <v>22</v>
      </c>
      <c r="G247" s="12">
        <f>IF(E247=0,"",F247/E247)</f>
        <v/>
      </c>
      <c r="H247" s="10" t="inlineStr">
        <is>
          <t>OK</t>
        </is>
      </c>
    </row>
    <row r="248">
      <c r="A248" s="7" t="inlineStr">
        <is>
          <t>Simulado 02</t>
        </is>
      </c>
      <c r="B248" s="8" t="n">
        <v>22</v>
      </c>
      <c r="C248" s="8" t="inlineStr">
        <is>
          <t>10ª Fase</t>
        </is>
      </c>
      <c r="D248" s="8" t="inlineStr">
        <is>
          <t>C</t>
        </is>
      </c>
      <c r="E248" s="8" t="n">
        <v>31</v>
      </c>
      <c r="F248" s="8" t="n">
        <v>20</v>
      </c>
      <c r="G248" s="9">
        <f>IF(E248=0,"",F248/E248)</f>
        <v/>
      </c>
      <c r="H248" s="7" t="inlineStr">
        <is>
          <t>OK</t>
        </is>
      </c>
    </row>
    <row r="249">
      <c r="A249" s="10" t="inlineStr">
        <is>
          <t>Simulado 02</t>
        </is>
      </c>
      <c r="B249" s="11" t="n">
        <v>22</v>
      </c>
      <c r="C249" s="11" t="inlineStr">
        <is>
          <t>11ª Fase</t>
        </is>
      </c>
      <c r="D249" s="11" t="inlineStr">
        <is>
          <t>C</t>
        </is>
      </c>
      <c r="E249" s="11" t="n">
        <v>29</v>
      </c>
      <c r="F249" s="11" t="n">
        <v>20</v>
      </c>
      <c r="G249" s="12">
        <f>IF(E249=0,"",F249/E249)</f>
        <v/>
      </c>
      <c r="H249" s="10" t="inlineStr">
        <is>
          <t>OK</t>
        </is>
      </c>
    </row>
    <row r="250">
      <c r="A250" s="7" t="inlineStr">
        <is>
          <t>Simulado 02</t>
        </is>
      </c>
      <c r="B250" s="8" t="n">
        <v>23</v>
      </c>
      <c r="C250" s="8" t="inlineStr">
        <is>
          <t>6ª Fase</t>
        </is>
      </c>
      <c r="D250" s="8" t="inlineStr">
        <is>
          <t>D</t>
        </is>
      </c>
      <c r="E250" s="8" t="n">
        <v>28</v>
      </c>
      <c r="F250" s="8" t="n">
        <v>17</v>
      </c>
      <c r="G250" s="9">
        <f>IF(E250=0,"",F250/E250)</f>
        <v/>
      </c>
      <c r="H250" s="7" t="inlineStr">
        <is>
          <t>OK</t>
        </is>
      </c>
    </row>
    <row r="251">
      <c r="A251" s="10" t="inlineStr">
        <is>
          <t>Simulado 02</t>
        </is>
      </c>
      <c r="B251" s="11" t="n">
        <v>23</v>
      </c>
      <c r="C251" s="11" t="inlineStr">
        <is>
          <t>7ª Fase</t>
        </is>
      </c>
      <c r="D251" s="11" t="inlineStr">
        <is>
          <t>D</t>
        </is>
      </c>
      <c r="E251" s="11" t="n">
        <v>32</v>
      </c>
      <c r="F251" s="11" t="n">
        <v>21</v>
      </c>
      <c r="G251" s="12">
        <f>IF(E251=0,"",F251/E251)</f>
        <v/>
      </c>
      <c r="H251" s="10" t="inlineStr">
        <is>
          <t>OK</t>
        </is>
      </c>
    </row>
    <row r="252">
      <c r="A252" s="7" t="inlineStr">
        <is>
          <t>Simulado 02</t>
        </is>
      </c>
      <c r="B252" s="8" t="n">
        <v>23</v>
      </c>
      <c r="C252" s="8" t="inlineStr">
        <is>
          <t>10ª Fase</t>
        </is>
      </c>
      <c r="D252" s="8" t="inlineStr">
        <is>
          <t>D</t>
        </is>
      </c>
      <c r="E252" s="8" t="n">
        <v>31</v>
      </c>
      <c r="F252" s="8" t="n">
        <v>27</v>
      </c>
      <c r="G252" s="9">
        <f>IF(E252=0,"",F252/E252)</f>
        <v/>
      </c>
      <c r="H252" s="7" t="inlineStr">
        <is>
          <t>OK</t>
        </is>
      </c>
    </row>
    <row r="253">
      <c r="A253" s="10" t="inlineStr">
        <is>
          <t>Simulado 02</t>
        </is>
      </c>
      <c r="B253" s="11" t="n">
        <v>23</v>
      </c>
      <c r="C253" s="11" t="inlineStr">
        <is>
          <t>11ª Fase</t>
        </is>
      </c>
      <c r="D253" s="11" t="inlineStr">
        <is>
          <t>D</t>
        </is>
      </c>
      <c r="E253" s="11" t="n">
        <v>29</v>
      </c>
      <c r="F253" s="11" t="n">
        <v>27</v>
      </c>
      <c r="G253" s="12">
        <f>IF(E253=0,"",F253/E253)</f>
        <v/>
      </c>
      <c r="H253" s="10" t="inlineStr">
        <is>
          <t>OK</t>
        </is>
      </c>
    </row>
    <row r="254">
      <c r="A254" s="7" t="inlineStr">
        <is>
          <t>Simulado 02</t>
        </is>
      </c>
      <c r="B254" s="8" t="n">
        <v>24</v>
      </c>
      <c r="C254" s="8" t="inlineStr">
        <is>
          <t>6ª Fase</t>
        </is>
      </c>
      <c r="D254" s="8" t="inlineStr">
        <is>
          <t>C</t>
        </is>
      </c>
      <c r="E254" s="8" t="n">
        <v>28</v>
      </c>
      <c r="F254" s="8" t="n">
        <v>27</v>
      </c>
      <c r="G254" s="9">
        <f>IF(E254=0,"",F254/E254)</f>
        <v/>
      </c>
      <c r="H254" s="7" t="inlineStr">
        <is>
          <t>OK</t>
        </is>
      </c>
    </row>
    <row r="255">
      <c r="A255" s="10" t="inlineStr">
        <is>
          <t>Simulado 02</t>
        </is>
      </c>
      <c r="B255" s="11" t="n">
        <v>24</v>
      </c>
      <c r="C255" s="11" t="inlineStr">
        <is>
          <t>7ª Fase</t>
        </is>
      </c>
      <c r="D255" s="11" t="inlineStr">
        <is>
          <t>C</t>
        </is>
      </c>
      <c r="E255" s="11" t="n">
        <v>32</v>
      </c>
      <c r="F255" s="11" t="n">
        <v>29</v>
      </c>
      <c r="G255" s="12">
        <f>IF(E255=0,"",F255/E255)</f>
        <v/>
      </c>
      <c r="H255" s="10" t="inlineStr">
        <is>
          <t>OK</t>
        </is>
      </c>
    </row>
    <row r="256">
      <c r="A256" s="7" t="inlineStr">
        <is>
          <t>Simulado 02</t>
        </is>
      </c>
      <c r="B256" s="8" t="n">
        <v>24</v>
      </c>
      <c r="C256" s="8" t="inlineStr">
        <is>
          <t>10ª Fase</t>
        </is>
      </c>
      <c r="D256" s="8" t="inlineStr">
        <is>
          <t>C</t>
        </is>
      </c>
      <c r="E256" s="8" t="n">
        <v>31</v>
      </c>
      <c r="F256" s="8" t="n">
        <v>29</v>
      </c>
      <c r="G256" s="9">
        <f>IF(E256=0,"",F256/E256)</f>
        <v/>
      </c>
      <c r="H256" s="7" t="inlineStr">
        <is>
          <t>OK</t>
        </is>
      </c>
    </row>
    <row r="257">
      <c r="A257" s="10" t="inlineStr">
        <is>
          <t>Simulado 02</t>
        </is>
      </c>
      <c r="B257" s="11" t="n">
        <v>24</v>
      </c>
      <c r="C257" s="11" t="inlineStr">
        <is>
          <t>11ª Fase</t>
        </is>
      </c>
      <c r="D257" s="11" t="inlineStr">
        <is>
          <t>C</t>
        </is>
      </c>
      <c r="E257" s="11" t="n">
        <v>29</v>
      </c>
      <c r="F257" s="11" t="n">
        <v>27</v>
      </c>
      <c r="G257" s="12">
        <f>IF(E257=0,"",F257/E257)</f>
        <v/>
      </c>
      <c r="H257" s="10" t="inlineStr">
        <is>
          <t>OK</t>
        </is>
      </c>
    </row>
    <row r="258">
      <c r="A258" s="7" t="inlineStr">
        <is>
          <t>Simulado 02</t>
        </is>
      </c>
      <c r="B258" s="8" t="n">
        <v>25</v>
      </c>
      <c r="C258" s="8" t="inlineStr">
        <is>
          <t>6ª Fase</t>
        </is>
      </c>
      <c r="D258" s="8" t="inlineStr">
        <is>
          <t>B</t>
        </is>
      </c>
      <c r="E258" s="8" t="n">
        <v>28</v>
      </c>
      <c r="F258" s="8" t="n">
        <v>6</v>
      </c>
      <c r="G258" s="9">
        <f>IF(E258=0,"",F258/E258)</f>
        <v/>
      </c>
      <c r="H258" s="7" t="inlineStr">
        <is>
          <t>OK</t>
        </is>
      </c>
    </row>
    <row r="259">
      <c r="A259" s="10" t="inlineStr">
        <is>
          <t>Simulado 02</t>
        </is>
      </c>
      <c r="B259" s="11" t="n">
        <v>25</v>
      </c>
      <c r="C259" s="11" t="inlineStr">
        <is>
          <t>7ª Fase</t>
        </is>
      </c>
      <c r="D259" s="11" t="inlineStr">
        <is>
          <t>B</t>
        </is>
      </c>
      <c r="E259" s="11" t="n">
        <v>32</v>
      </c>
      <c r="F259" s="11" t="n">
        <v>8</v>
      </c>
      <c r="G259" s="12">
        <f>IF(E259=0,"",F259/E259)</f>
        <v/>
      </c>
      <c r="H259" s="10" t="inlineStr">
        <is>
          <t>OK</t>
        </is>
      </c>
    </row>
    <row r="260">
      <c r="A260" s="7" t="inlineStr">
        <is>
          <t>Simulado 02</t>
        </is>
      </c>
      <c r="B260" s="8" t="n">
        <v>25</v>
      </c>
      <c r="C260" s="8" t="inlineStr">
        <is>
          <t>10ª Fase</t>
        </is>
      </c>
      <c r="D260" s="8" t="inlineStr">
        <is>
          <t>B</t>
        </is>
      </c>
      <c r="E260" s="8" t="n">
        <v>31</v>
      </c>
      <c r="F260" s="8" t="n">
        <v>12</v>
      </c>
      <c r="G260" s="9">
        <f>IF(E260=0,"",F260/E260)</f>
        <v/>
      </c>
      <c r="H260" s="7" t="inlineStr">
        <is>
          <t>OK</t>
        </is>
      </c>
    </row>
    <row r="261">
      <c r="A261" s="10" t="inlineStr">
        <is>
          <t>Simulado 02</t>
        </is>
      </c>
      <c r="B261" s="11" t="n">
        <v>25</v>
      </c>
      <c r="C261" s="11" t="inlineStr">
        <is>
          <t>11ª Fase</t>
        </is>
      </c>
      <c r="D261" s="11" t="inlineStr">
        <is>
          <t>B</t>
        </is>
      </c>
      <c r="E261" s="11" t="n">
        <v>29</v>
      </c>
      <c r="F261" s="11" t="n">
        <v>15</v>
      </c>
      <c r="G261" s="12">
        <f>IF(E261=0,"",F261/E261)</f>
        <v/>
      </c>
      <c r="H261" s="10" t="inlineStr">
        <is>
          <t>OK</t>
        </is>
      </c>
    </row>
    <row r="262">
      <c r="A262" s="7" t="inlineStr">
        <is>
          <t>Simulado 02</t>
        </is>
      </c>
      <c r="B262" s="8" t="n">
        <v>26</v>
      </c>
      <c r="C262" s="8" t="inlineStr">
        <is>
          <t>6ª Fase</t>
        </is>
      </c>
      <c r="D262" s="8" t="inlineStr">
        <is>
          <t>A</t>
        </is>
      </c>
      <c r="E262" s="8" t="n">
        <v>28</v>
      </c>
      <c r="F262" s="8" t="n">
        <v>27</v>
      </c>
      <c r="G262" s="9">
        <f>IF(E262=0,"",F262/E262)</f>
        <v/>
      </c>
      <c r="H262" s="7" t="inlineStr">
        <is>
          <t>OK</t>
        </is>
      </c>
    </row>
    <row r="263">
      <c r="A263" s="10" t="inlineStr">
        <is>
          <t>Simulado 02</t>
        </is>
      </c>
      <c r="B263" s="11" t="n">
        <v>26</v>
      </c>
      <c r="C263" s="11" t="inlineStr">
        <is>
          <t>7ª Fase</t>
        </is>
      </c>
      <c r="D263" s="11" t="inlineStr">
        <is>
          <t>A</t>
        </is>
      </c>
      <c r="E263" s="11" t="n">
        <v>32</v>
      </c>
      <c r="F263" s="11" t="n">
        <v>32</v>
      </c>
      <c r="G263" s="12">
        <f>IF(E263=0,"",F263/E263)</f>
        <v/>
      </c>
      <c r="H263" s="10" t="inlineStr">
        <is>
          <t>OK</t>
        </is>
      </c>
    </row>
    <row r="264">
      <c r="A264" s="7" t="inlineStr">
        <is>
          <t>Simulado 02</t>
        </is>
      </c>
      <c r="B264" s="8" t="n">
        <v>26</v>
      </c>
      <c r="C264" s="8" t="inlineStr">
        <is>
          <t>10ª Fase</t>
        </is>
      </c>
      <c r="D264" s="8" t="inlineStr">
        <is>
          <t>A</t>
        </is>
      </c>
      <c r="E264" s="8" t="n">
        <v>31</v>
      </c>
      <c r="F264" s="8" t="n">
        <v>31</v>
      </c>
      <c r="G264" s="9">
        <f>IF(E264=0,"",F264/E264)</f>
        <v/>
      </c>
      <c r="H264" s="7" t="inlineStr">
        <is>
          <t>OK</t>
        </is>
      </c>
    </row>
    <row r="265">
      <c r="A265" s="10" t="inlineStr">
        <is>
          <t>Simulado 02</t>
        </is>
      </c>
      <c r="B265" s="11" t="n">
        <v>26</v>
      </c>
      <c r="C265" s="11" t="inlineStr">
        <is>
          <t>11ª Fase</t>
        </is>
      </c>
      <c r="D265" s="11" t="inlineStr">
        <is>
          <t>A</t>
        </is>
      </c>
      <c r="E265" s="11" t="n">
        <v>29</v>
      </c>
      <c r="F265" s="11" t="n">
        <v>28</v>
      </c>
      <c r="G265" s="12">
        <f>IF(E265=0,"",F265/E265)</f>
        <v/>
      </c>
      <c r="H265" s="10" t="inlineStr">
        <is>
          <t>OK</t>
        </is>
      </c>
    </row>
    <row r="266">
      <c r="A266" s="7" t="inlineStr">
        <is>
          <t>Simulado 02</t>
        </is>
      </c>
      <c r="B266" s="8" t="n">
        <v>27</v>
      </c>
      <c r="C266" s="8" t="inlineStr">
        <is>
          <t>6ª Fase</t>
        </is>
      </c>
      <c r="D266" s="8" t="inlineStr">
        <is>
          <t>D</t>
        </is>
      </c>
      <c r="E266" s="8" t="n">
        <v>28</v>
      </c>
      <c r="F266" s="8" t="n">
        <v>19</v>
      </c>
      <c r="G266" s="9">
        <f>IF(E266=0,"",F266/E266)</f>
        <v/>
      </c>
      <c r="H266" s="7" t="inlineStr">
        <is>
          <t>OK</t>
        </is>
      </c>
    </row>
    <row r="267">
      <c r="A267" s="10" t="inlineStr">
        <is>
          <t>Simulado 02</t>
        </is>
      </c>
      <c r="B267" s="11" t="n">
        <v>27</v>
      </c>
      <c r="C267" s="11" t="inlineStr">
        <is>
          <t>7ª Fase</t>
        </is>
      </c>
      <c r="D267" s="11" t="inlineStr">
        <is>
          <t>D</t>
        </is>
      </c>
      <c r="E267" s="11" t="n">
        <v>32</v>
      </c>
      <c r="F267" s="11" t="n">
        <v>15</v>
      </c>
      <c r="G267" s="12">
        <f>IF(E267=0,"",F267/E267)</f>
        <v/>
      </c>
      <c r="H267" s="10" t="inlineStr">
        <is>
          <t>OK</t>
        </is>
      </c>
    </row>
    <row r="268">
      <c r="A268" s="7" t="inlineStr">
        <is>
          <t>Simulado 02</t>
        </is>
      </c>
      <c r="B268" s="8" t="n">
        <v>27</v>
      </c>
      <c r="C268" s="8" t="inlineStr">
        <is>
          <t>10ª Fase</t>
        </is>
      </c>
      <c r="D268" s="8" t="inlineStr">
        <is>
          <t>D</t>
        </is>
      </c>
      <c r="E268" s="8" t="n">
        <v>31</v>
      </c>
      <c r="F268" s="8" t="n">
        <v>20</v>
      </c>
      <c r="G268" s="9">
        <f>IF(E268=0,"",F268/E268)</f>
        <v/>
      </c>
      <c r="H268" s="7" t="inlineStr">
        <is>
          <t>OK</t>
        </is>
      </c>
    </row>
    <row r="269">
      <c r="A269" s="10" t="inlineStr">
        <is>
          <t>Simulado 02</t>
        </is>
      </c>
      <c r="B269" s="11" t="n">
        <v>27</v>
      </c>
      <c r="C269" s="11" t="inlineStr">
        <is>
          <t>11ª Fase</t>
        </is>
      </c>
      <c r="D269" s="11" t="inlineStr">
        <is>
          <t>D</t>
        </is>
      </c>
      <c r="E269" s="11" t="n">
        <v>29</v>
      </c>
      <c r="F269" s="11" t="n">
        <v>12</v>
      </c>
      <c r="G269" s="12">
        <f>IF(E269=0,"",F269/E269)</f>
        <v/>
      </c>
      <c r="H269" s="10" t="inlineStr">
        <is>
          <t>OK</t>
        </is>
      </c>
    </row>
    <row r="270">
      <c r="A270" s="7" t="inlineStr">
        <is>
          <t>Simulado 02</t>
        </is>
      </c>
      <c r="B270" s="8" t="n">
        <v>28</v>
      </c>
      <c r="C270" s="8" t="inlineStr">
        <is>
          <t>6ª Fase</t>
        </is>
      </c>
      <c r="D270" s="8" t="inlineStr">
        <is>
          <t>A</t>
        </is>
      </c>
      <c r="E270" s="8" t="n">
        <v>28</v>
      </c>
      <c r="F270" s="8" t="n">
        <v>11</v>
      </c>
      <c r="G270" s="9">
        <f>IF(E270=0,"",F270/E270)</f>
        <v/>
      </c>
      <c r="H270" s="7" t="inlineStr">
        <is>
          <t>OK</t>
        </is>
      </c>
    </row>
    <row r="271">
      <c r="A271" s="10" t="inlineStr">
        <is>
          <t>Simulado 02</t>
        </is>
      </c>
      <c r="B271" s="11" t="n">
        <v>28</v>
      </c>
      <c r="C271" s="11" t="inlineStr">
        <is>
          <t>7ª Fase</t>
        </is>
      </c>
      <c r="D271" s="11" t="inlineStr">
        <is>
          <t>A</t>
        </is>
      </c>
      <c r="E271" s="11" t="n">
        <v>32</v>
      </c>
      <c r="F271" s="11" t="n">
        <v>11</v>
      </c>
      <c r="G271" s="12">
        <f>IF(E271=0,"",F271/E271)</f>
        <v/>
      </c>
      <c r="H271" s="10" t="inlineStr">
        <is>
          <t>OK</t>
        </is>
      </c>
    </row>
    <row r="272">
      <c r="A272" s="7" t="inlineStr">
        <is>
          <t>Simulado 02</t>
        </is>
      </c>
      <c r="B272" s="8" t="n">
        <v>28</v>
      </c>
      <c r="C272" s="8" t="inlineStr">
        <is>
          <t>10ª Fase</t>
        </is>
      </c>
      <c r="D272" s="8" t="inlineStr">
        <is>
          <t>A</t>
        </is>
      </c>
      <c r="E272" s="8" t="n">
        <v>31</v>
      </c>
      <c r="F272" s="8" t="n">
        <v>11</v>
      </c>
      <c r="G272" s="9">
        <f>IF(E272=0,"",F272/E272)</f>
        <v/>
      </c>
      <c r="H272" s="7" t="inlineStr">
        <is>
          <t>OK</t>
        </is>
      </c>
    </row>
    <row r="273">
      <c r="A273" s="10" t="inlineStr">
        <is>
          <t>Simulado 02</t>
        </is>
      </c>
      <c r="B273" s="11" t="n">
        <v>28</v>
      </c>
      <c r="C273" s="11" t="inlineStr">
        <is>
          <t>11ª Fase</t>
        </is>
      </c>
      <c r="D273" s="11" t="inlineStr">
        <is>
          <t>A</t>
        </is>
      </c>
      <c r="E273" s="11" t="n">
        <v>29</v>
      </c>
      <c r="F273" s="11" t="n">
        <v>15</v>
      </c>
      <c r="G273" s="12">
        <f>IF(E273=0,"",F273/E273)</f>
        <v/>
      </c>
      <c r="H273" s="10" t="inlineStr">
        <is>
          <t>OK</t>
        </is>
      </c>
    </row>
    <row r="274">
      <c r="A274" s="7" t="inlineStr">
        <is>
          <t>Simulado 02</t>
        </is>
      </c>
      <c r="B274" s="8" t="n">
        <v>29</v>
      </c>
      <c r="C274" s="8" t="inlineStr">
        <is>
          <t>6ª Fase</t>
        </is>
      </c>
      <c r="D274" s="8" t="inlineStr">
        <is>
          <t>B</t>
        </is>
      </c>
      <c r="E274" s="8" t="n">
        <v>28</v>
      </c>
      <c r="F274" s="8" t="n">
        <v>20</v>
      </c>
      <c r="G274" s="9">
        <f>IF(E274=0,"",F274/E274)</f>
        <v/>
      </c>
      <c r="H274" s="7" t="inlineStr">
        <is>
          <t>OK</t>
        </is>
      </c>
    </row>
    <row r="275">
      <c r="A275" s="10" t="inlineStr">
        <is>
          <t>Simulado 02</t>
        </is>
      </c>
      <c r="B275" s="11" t="n">
        <v>29</v>
      </c>
      <c r="C275" s="11" t="inlineStr">
        <is>
          <t>7ª Fase</t>
        </is>
      </c>
      <c r="D275" s="11" t="inlineStr">
        <is>
          <t>B</t>
        </is>
      </c>
      <c r="E275" s="11" t="n">
        <v>32</v>
      </c>
      <c r="F275" s="11" t="n">
        <v>22</v>
      </c>
      <c r="G275" s="12">
        <f>IF(E275=0,"",F275/E275)</f>
        <v/>
      </c>
      <c r="H275" s="10" t="inlineStr">
        <is>
          <t>OK</t>
        </is>
      </c>
    </row>
    <row r="276">
      <c r="A276" s="7" t="inlineStr">
        <is>
          <t>Simulado 02</t>
        </is>
      </c>
      <c r="B276" s="8" t="n">
        <v>29</v>
      </c>
      <c r="C276" s="8" t="inlineStr">
        <is>
          <t>10ª Fase</t>
        </is>
      </c>
      <c r="D276" s="8" t="inlineStr">
        <is>
          <t>B</t>
        </is>
      </c>
      <c r="E276" s="8" t="n">
        <v>31</v>
      </c>
      <c r="F276" s="8" t="n">
        <v>15</v>
      </c>
      <c r="G276" s="9">
        <f>IF(E276=0,"",F276/E276)</f>
        <v/>
      </c>
      <c r="H276" s="7" t="inlineStr">
        <is>
          <t>OK</t>
        </is>
      </c>
    </row>
    <row r="277">
      <c r="A277" s="10" t="inlineStr">
        <is>
          <t>Simulado 02</t>
        </is>
      </c>
      <c r="B277" s="11" t="n">
        <v>29</v>
      </c>
      <c r="C277" s="11" t="inlineStr">
        <is>
          <t>11ª Fase</t>
        </is>
      </c>
      <c r="D277" s="11" t="inlineStr">
        <is>
          <t>B</t>
        </is>
      </c>
      <c r="E277" s="11" t="n">
        <v>29</v>
      </c>
      <c r="F277" s="11" t="n">
        <v>19</v>
      </c>
      <c r="G277" s="12">
        <f>IF(E277=0,"",F277/E277)</f>
        <v/>
      </c>
      <c r="H277" s="10" t="inlineStr">
        <is>
          <t>OK</t>
        </is>
      </c>
    </row>
    <row r="278">
      <c r="A278" s="7" t="inlineStr">
        <is>
          <t>Simulado 02</t>
        </is>
      </c>
      <c r="B278" s="8" t="n">
        <v>30</v>
      </c>
      <c r="C278" s="8" t="inlineStr">
        <is>
          <t>6ª Fase</t>
        </is>
      </c>
      <c r="D278" s="8" t="inlineStr">
        <is>
          <t>B</t>
        </is>
      </c>
      <c r="E278" s="8" t="n">
        <v>28</v>
      </c>
      <c r="F278" s="8" t="n">
        <v>25</v>
      </c>
      <c r="G278" s="9">
        <f>IF(E278=0,"",F278/E278)</f>
        <v/>
      </c>
      <c r="H278" s="7" t="inlineStr">
        <is>
          <t>OK</t>
        </is>
      </c>
    </row>
    <row r="279">
      <c r="A279" s="10" t="inlineStr">
        <is>
          <t>Simulado 02</t>
        </is>
      </c>
      <c r="B279" s="11" t="n">
        <v>30</v>
      </c>
      <c r="C279" s="11" t="inlineStr">
        <is>
          <t>7ª Fase</t>
        </is>
      </c>
      <c r="D279" s="11" t="inlineStr">
        <is>
          <t>B</t>
        </is>
      </c>
      <c r="E279" s="11" t="n">
        <v>32</v>
      </c>
      <c r="F279" s="11" t="n">
        <v>28</v>
      </c>
      <c r="G279" s="12">
        <f>IF(E279=0,"",F279/E279)</f>
        <v/>
      </c>
      <c r="H279" s="10" t="inlineStr">
        <is>
          <t>OK</t>
        </is>
      </c>
    </row>
    <row r="280">
      <c r="A280" s="7" t="inlineStr">
        <is>
          <t>Simulado 02</t>
        </is>
      </c>
      <c r="B280" s="8" t="n">
        <v>30</v>
      </c>
      <c r="C280" s="8" t="inlineStr">
        <is>
          <t>10ª Fase</t>
        </is>
      </c>
      <c r="D280" s="8" t="inlineStr">
        <is>
          <t>B</t>
        </is>
      </c>
      <c r="E280" s="8" t="n">
        <v>31</v>
      </c>
      <c r="F280" s="8" t="n">
        <v>31</v>
      </c>
      <c r="G280" s="9">
        <f>IF(E280=0,"",F280/E280)</f>
        <v/>
      </c>
      <c r="H280" s="7" t="inlineStr">
        <is>
          <t>OK</t>
        </is>
      </c>
    </row>
    <row r="281">
      <c r="A281" s="10" t="inlineStr">
        <is>
          <t>Simulado 02</t>
        </is>
      </c>
      <c r="B281" s="11" t="n">
        <v>30</v>
      </c>
      <c r="C281" s="11" t="inlineStr">
        <is>
          <t>11ª Fase</t>
        </is>
      </c>
      <c r="D281" s="11" t="inlineStr">
        <is>
          <t>B</t>
        </is>
      </c>
      <c r="E281" s="11" t="n">
        <v>29</v>
      </c>
      <c r="F281" s="11" t="n">
        <v>29</v>
      </c>
      <c r="G281" s="12">
        <f>IF(E281=0,"",F281/E281)</f>
        <v/>
      </c>
      <c r="H281" s="10" t="inlineStr">
        <is>
          <t>OK</t>
        </is>
      </c>
    </row>
    <row r="282">
      <c r="A282" s="7" t="inlineStr">
        <is>
          <t>Simulado 02</t>
        </is>
      </c>
      <c r="B282" s="8" t="n">
        <v>31</v>
      </c>
      <c r="C282" s="8" t="inlineStr">
        <is>
          <t>6ª Fase</t>
        </is>
      </c>
      <c r="D282" s="8" t="inlineStr">
        <is>
          <t>A</t>
        </is>
      </c>
      <c r="E282" s="8" t="n">
        <v>28</v>
      </c>
      <c r="F282" s="8" t="n">
        <v>16</v>
      </c>
      <c r="G282" s="9">
        <f>IF(E282=0,"",F282/E282)</f>
        <v/>
      </c>
      <c r="H282" s="7" t="inlineStr">
        <is>
          <t>OK</t>
        </is>
      </c>
    </row>
    <row r="283">
      <c r="A283" s="10" t="inlineStr">
        <is>
          <t>Simulado 02</t>
        </is>
      </c>
      <c r="B283" s="11" t="n">
        <v>31</v>
      </c>
      <c r="C283" s="11" t="inlineStr">
        <is>
          <t>7ª Fase</t>
        </is>
      </c>
      <c r="D283" s="11" t="inlineStr">
        <is>
          <t>A</t>
        </is>
      </c>
      <c r="E283" s="11" t="n">
        <v>32</v>
      </c>
      <c r="F283" s="11" t="n">
        <v>16</v>
      </c>
      <c r="G283" s="12">
        <f>IF(E283=0,"",F283/E283)</f>
        <v/>
      </c>
      <c r="H283" s="10" t="inlineStr">
        <is>
          <t>OK</t>
        </is>
      </c>
    </row>
    <row r="284">
      <c r="A284" s="7" t="inlineStr">
        <is>
          <t>Simulado 02</t>
        </is>
      </c>
      <c r="B284" s="8" t="n">
        <v>31</v>
      </c>
      <c r="C284" s="8" t="inlineStr">
        <is>
          <t>10ª Fase</t>
        </is>
      </c>
      <c r="D284" s="8" t="inlineStr">
        <is>
          <t>A</t>
        </is>
      </c>
      <c r="E284" s="8" t="n">
        <v>31</v>
      </c>
      <c r="F284" s="8" t="n">
        <v>22</v>
      </c>
      <c r="G284" s="9">
        <f>IF(E284=0,"",F284/E284)</f>
        <v/>
      </c>
      <c r="H284" s="7" t="inlineStr">
        <is>
          <t>OK</t>
        </is>
      </c>
    </row>
    <row r="285">
      <c r="A285" s="10" t="inlineStr">
        <is>
          <t>Simulado 02</t>
        </is>
      </c>
      <c r="B285" s="11" t="n">
        <v>31</v>
      </c>
      <c r="C285" s="11" t="inlineStr">
        <is>
          <t>11ª Fase</t>
        </is>
      </c>
      <c r="D285" s="11" t="inlineStr">
        <is>
          <t>A</t>
        </is>
      </c>
      <c r="E285" s="11" t="n">
        <v>29</v>
      </c>
      <c r="F285" s="11" t="n">
        <v>13</v>
      </c>
      <c r="G285" s="12">
        <f>IF(E285=0,"",F285/E285)</f>
        <v/>
      </c>
      <c r="H285" s="10" t="inlineStr">
        <is>
          <t>OK</t>
        </is>
      </c>
    </row>
    <row r="286">
      <c r="A286" s="7" t="inlineStr">
        <is>
          <t>Simulado 02</t>
        </is>
      </c>
      <c r="B286" s="8" t="n">
        <v>32</v>
      </c>
      <c r="C286" s="8" t="inlineStr">
        <is>
          <t>6ª Fase</t>
        </is>
      </c>
      <c r="D286" s="8" t="inlineStr">
        <is>
          <t>C</t>
        </is>
      </c>
      <c r="E286" s="8" t="n">
        <v>28</v>
      </c>
      <c r="F286" s="8" t="n">
        <v>22</v>
      </c>
      <c r="G286" s="9">
        <f>IF(E286=0,"",F286/E286)</f>
        <v/>
      </c>
      <c r="H286" s="7" t="inlineStr">
        <is>
          <t>OK</t>
        </is>
      </c>
    </row>
    <row r="287">
      <c r="A287" s="10" t="inlineStr">
        <is>
          <t>Simulado 02</t>
        </is>
      </c>
      <c r="B287" s="11" t="n">
        <v>32</v>
      </c>
      <c r="C287" s="11" t="inlineStr">
        <is>
          <t>7ª Fase</t>
        </is>
      </c>
      <c r="D287" s="11" t="inlineStr">
        <is>
          <t>C</t>
        </is>
      </c>
      <c r="E287" s="11" t="n">
        <v>32</v>
      </c>
      <c r="F287" s="11" t="n">
        <v>29</v>
      </c>
      <c r="G287" s="12">
        <f>IF(E287=0,"",F287/E287)</f>
        <v/>
      </c>
      <c r="H287" s="10" t="inlineStr">
        <is>
          <t>OK</t>
        </is>
      </c>
    </row>
    <row r="288">
      <c r="A288" s="7" t="inlineStr">
        <is>
          <t>Simulado 02</t>
        </is>
      </c>
      <c r="B288" s="8" t="n">
        <v>32</v>
      </c>
      <c r="C288" s="8" t="inlineStr">
        <is>
          <t>10ª Fase</t>
        </is>
      </c>
      <c r="D288" s="8" t="inlineStr">
        <is>
          <t>C</t>
        </is>
      </c>
      <c r="E288" s="8" t="n">
        <v>31</v>
      </c>
      <c r="F288" s="8" t="n">
        <v>29</v>
      </c>
      <c r="G288" s="9">
        <f>IF(E288=0,"",F288/E288)</f>
        <v/>
      </c>
      <c r="H288" s="7" t="inlineStr">
        <is>
          <t>OK</t>
        </is>
      </c>
    </row>
    <row r="289">
      <c r="A289" s="10" t="inlineStr">
        <is>
          <t>Simulado 02</t>
        </is>
      </c>
      <c r="B289" s="11" t="n">
        <v>32</v>
      </c>
      <c r="C289" s="11" t="inlineStr">
        <is>
          <t>11ª Fase</t>
        </is>
      </c>
      <c r="D289" s="11" t="inlineStr">
        <is>
          <t>C</t>
        </is>
      </c>
      <c r="E289" s="11" t="n">
        <v>29</v>
      </c>
      <c r="F289" s="11" t="n">
        <v>26</v>
      </c>
      <c r="G289" s="12">
        <f>IF(E289=0,"",F289/E289)</f>
        <v/>
      </c>
      <c r="H289" s="10" t="inlineStr">
        <is>
          <t>OK</t>
        </is>
      </c>
    </row>
    <row r="290">
      <c r="A290" s="7" t="inlineStr">
        <is>
          <t>Simulado 02</t>
        </is>
      </c>
      <c r="B290" s="8" t="n">
        <v>33</v>
      </c>
      <c r="C290" s="8" t="inlineStr">
        <is>
          <t>6ª Fase</t>
        </is>
      </c>
      <c r="D290" s="8" t="inlineStr">
        <is>
          <t>A</t>
        </is>
      </c>
      <c r="E290" s="8" t="n">
        <v>28</v>
      </c>
      <c r="F290" s="8" t="n">
        <v>2</v>
      </c>
      <c r="G290" s="9">
        <f>IF(E290=0,"",F290/E290)</f>
        <v/>
      </c>
      <c r="H290" s="7" t="inlineStr">
        <is>
          <t>OK</t>
        </is>
      </c>
    </row>
    <row r="291">
      <c r="A291" s="10" t="inlineStr">
        <is>
          <t>Simulado 02</t>
        </is>
      </c>
      <c r="B291" s="11" t="n">
        <v>33</v>
      </c>
      <c r="C291" s="11" t="inlineStr">
        <is>
          <t>7ª Fase</t>
        </is>
      </c>
      <c r="D291" s="11" t="inlineStr">
        <is>
          <t>A</t>
        </is>
      </c>
      <c r="E291" s="11" t="n">
        <v>32</v>
      </c>
      <c r="F291" s="11" t="n">
        <v>1</v>
      </c>
      <c r="G291" s="12">
        <f>IF(E291=0,"",F291/E291)</f>
        <v/>
      </c>
      <c r="H291" s="10" t="inlineStr">
        <is>
          <t>OK</t>
        </is>
      </c>
    </row>
    <row r="292">
      <c r="A292" s="7" t="inlineStr">
        <is>
          <t>Simulado 02</t>
        </is>
      </c>
      <c r="B292" s="8" t="n">
        <v>33</v>
      </c>
      <c r="C292" s="8" t="inlineStr">
        <is>
          <t>10ª Fase</t>
        </is>
      </c>
      <c r="D292" s="8" t="inlineStr">
        <is>
          <t>A</t>
        </is>
      </c>
      <c r="E292" s="8" t="n">
        <v>31</v>
      </c>
      <c r="F292" s="8" t="n">
        <v>4</v>
      </c>
      <c r="G292" s="9">
        <f>IF(E292=0,"",F292/E292)</f>
        <v/>
      </c>
      <c r="H292" s="7" t="inlineStr">
        <is>
          <t>OK</t>
        </is>
      </c>
    </row>
    <row r="293">
      <c r="A293" s="10" t="inlineStr">
        <is>
          <t>Simulado 02</t>
        </is>
      </c>
      <c r="B293" s="11" t="n">
        <v>33</v>
      </c>
      <c r="C293" s="11" t="inlineStr">
        <is>
          <t>11ª Fase</t>
        </is>
      </c>
      <c r="D293" s="11" t="inlineStr">
        <is>
          <t>A</t>
        </is>
      </c>
      <c r="E293" s="11" t="n">
        <v>29</v>
      </c>
      <c r="F293" s="11" t="n">
        <v>6</v>
      </c>
      <c r="G293" s="12">
        <f>IF(E293=0,"",F293/E293)</f>
        <v/>
      </c>
      <c r="H293" s="10" t="inlineStr">
        <is>
          <t>OK</t>
        </is>
      </c>
    </row>
    <row r="294">
      <c r="A294" s="7" t="inlineStr">
        <is>
          <t>Simulado 02</t>
        </is>
      </c>
      <c r="B294" s="8" t="n">
        <v>34</v>
      </c>
      <c r="C294" s="8" t="inlineStr">
        <is>
          <t>6ª Fase</t>
        </is>
      </c>
      <c r="D294" s="8" t="inlineStr">
        <is>
          <t>D</t>
        </is>
      </c>
      <c r="E294" s="8" t="n">
        <v>28</v>
      </c>
      <c r="F294" s="8" t="n">
        <v>25</v>
      </c>
      <c r="G294" s="9">
        <f>IF(E294=0,"",F294/E294)</f>
        <v/>
      </c>
      <c r="H294" s="7" t="inlineStr">
        <is>
          <t>OK</t>
        </is>
      </c>
    </row>
    <row r="295">
      <c r="A295" s="10" t="inlineStr">
        <is>
          <t>Simulado 02</t>
        </is>
      </c>
      <c r="B295" s="11" t="n">
        <v>34</v>
      </c>
      <c r="C295" s="11" t="inlineStr">
        <is>
          <t>7ª Fase</t>
        </is>
      </c>
      <c r="D295" s="11" t="inlineStr">
        <is>
          <t>D</t>
        </is>
      </c>
      <c r="E295" s="11" t="n">
        <v>32</v>
      </c>
      <c r="F295" s="11" t="n">
        <v>29</v>
      </c>
      <c r="G295" s="12">
        <f>IF(E295=0,"",F295/E295)</f>
        <v/>
      </c>
      <c r="H295" s="10" t="inlineStr">
        <is>
          <t>OK</t>
        </is>
      </c>
    </row>
    <row r="296">
      <c r="A296" s="7" t="inlineStr">
        <is>
          <t>Simulado 02</t>
        </is>
      </c>
      <c r="B296" s="8" t="n">
        <v>34</v>
      </c>
      <c r="C296" s="8" t="inlineStr">
        <is>
          <t>10ª Fase</t>
        </is>
      </c>
      <c r="D296" s="8" t="inlineStr">
        <is>
          <t>D</t>
        </is>
      </c>
      <c r="E296" s="8" t="n">
        <v>31</v>
      </c>
      <c r="F296" s="8" t="n">
        <v>27</v>
      </c>
      <c r="G296" s="9">
        <f>IF(E296=0,"",F296/E296)</f>
        <v/>
      </c>
      <c r="H296" s="7" t="inlineStr">
        <is>
          <t>OK</t>
        </is>
      </c>
    </row>
    <row r="297">
      <c r="A297" s="10" t="inlineStr">
        <is>
          <t>Simulado 02</t>
        </is>
      </c>
      <c r="B297" s="11" t="n">
        <v>34</v>
      </c>
      <c r="C297" s="11" t="inlineStr">
        <is>
          <t>11ª Fase</t>
        </is>
      </c>
      <c r="D297" s="11" t="inlineStr">
        <is>
          <t>D</t>
        </is>
      </c>
      <c r="E297" s="11" t="n">
        <v>29</v>
      </c>
      <c r="F297" s="11" t="n">
        <v>24</v>
      </c>
      <c r="G297" s="12">
        <f>IF(E297=0,"",F297/E297)</f>
        <v/>
      </c>
      <c r="H297" s="10" t="inlineStr">
        <is>
          <t>OK</t>
        </is>
      </c>
    </row>
    <row r="298">
      <c r="A298" s="7" t="inlineStr">
        <is>
          <t>Simulado 02</t>
        </is>
      </c>
      <c r="B298" s="8" t="n">
        <v>35</v>
      </c>
      <c r="C298" s="8" t="inlineStr">
        <is>
          <t>6ª Fase</t>
        </is>
      </c>
      <c r="D298" s="8" t="inlineStr">
        <is>
          <t>A</t>
        </is>
      </c>
      <c r="E298" s="8" t="n">
        <v>28</v>
      </c>
      <c r="F298" s="8" t="n">
        <v>9</v>
      </c>
      <c r="G298" s="9">
        <f>IF(E298=0,"",F298/E298)</f>
        <v/>
      </c>
      <c r="H298" s="7" t="inlineStr">
        <is>
          <t>OK</t>
        </is>
      </c>
    </row>
    <row r="299">
      <c r="A299" s="10" t="inlineStr">
        <is>
          <t>Simulado 02</t>
        </is>
      </c>
      <c r="B299" s="11" t="n">
        <v>35</v>
      </c>
      <c r="C299" s="11" t="inlineStr">
        <is>
          <t>7ª Fase</t>
        </is>
      </c>
      <c r="D299" s="11" t="inlineStr">
        <is>
          <t>A</t>
        </is>
      </c>
      <c r="E299" s="11" t="n">
        <v>32</v>
      </c>
      <c r="F299" s="11" t="n">
        <v>14</v>
      </c>
      <c r="G299" s="12">
        <f>IF(E299=0,"",F299/E299)</f>
        <v/>
      </c>
      <c r="H299" s="10" t="inlineStr">
        <is>
          <t>OK</t>
        </is>
      </c>
    </row>
    <row r="300">
      <c r="A300" s="7" t="inlineStr">
        <is>
          <t>Simulado 02</t>
        </is>
      </c>
      <c r="B300" s="8" t="n">
        <v>35</v>
      </c>
      <c r="C300" s="8" t="inlineStr">
        <is>
          <t>10ª Fase</t>
        </is>
      </c>
      <c r="D300" s="8" t="inlineStr">
        <is>
          <t>A</t>
        </is>
      </c>
      <c r="E300" s="8" t="n">
        <v>31</v>
      </c>
      <c r="F300" s="8" t="n">
        <v>13</v>
      </c>
      <c r="G300" s="9">
        <f>IF(E300=0,"",F300/E300)</f>
        <v/>
      </c>
      <c r="H300" s="7" t="inlineStr">
        <is>
          <t>OK</t>
        </is>
      </c>
    </row>
    <row r="301">
      <c r="A301" s="10" t="inlineStr">
        <is>
          <t>Simulado 02</t>
        </is>
      </c>
      <c r="B301" s="11" t="n">
        <v>35</v>
      </c>
      <c r="C301" s="11" t="inlineStr">
        <is>
          <t>11ª Fase</t>
        </is>
      </c>
      <c r="D301" s="11" t="inlineStr">
        <is>
          <t>A</t>
        </is>
      </c>
      <c r="E301" s="11" t="n">
        <v>29</v>
      </c>
      <c r="F301" s="11" t="n">
        <v>19</v>
      </c>
      <c r="G301" s="12">
        <f>IF(E301=0,"",F301/E301)</f>
        <v/>
      </c>
      <c r="H301" s="10" t="inlineStr">
        <is>
          <t>OK</t>
        </is>
      </c>
    </row>
    <row r="302">
      <c r="A302" s="7" t="inlineStr">
        <is>
          <t>Simulado 02</t>
        </is>
      </c>
      <c r="B302" s="8" t="n">
        <v>36</v>
      </c>
      <c r="C302" s="8" t="inlineStr">
        <is>
          <t>6ª Fase</t>
        </is>
      </c>
      <c r="D302" s="8" t="inlineStr">
        <is>
          <t>B</t>
        </is>
      </c>
      <c r="E302" s="8" t="n">
        <v>28</v>
      </c>
      <c r="F302" s="8" t="n">
        <v>17</v>
      </c>
      <c r="G302" s="9">
        <f>IF(E302=0,"",F302/E302)</f>
        <v/>
      </c>
      <c r="H302" s="7" t="inlineStr">
        <is>
          <t>OK</t>
        </is>
      </c>
    </row>
    <row r="303">
      <c r="A303" s="10" t="inlineStr">
        <is>
          <t>Simulado 02</t>
        </is>
      </c>
      <c r="B303" s="11" t="n">
        <v>36</v>
      </c>
      <c r="C303" s="11" t="inlineStr">
        <is>
          <t>7ª Fase</t>
        </is>
      </c>
      <c r="D303" s="11" t="inlineStr">
        <is>
          <t>B</t>
        </is>
      </c>
      <c r="E303" s="11" t="n">
        <v>32</v>
      </c>
      <c r="F303" s="11" t="n">
        <v>16</v>
      </c>
      <c r="G303" s="12">
        <f>IF(E303=0,"",F303/E303)</f>
        <v/>
      </c>
      <c r="H303" s="10" t="inlineStr">
        <is>
          <t>OK</t>
        </is>
      </c>
    </row>
    <row r="304">
      <c r="A304" s="7" t="inlineStr">
        <is>
          <t>Simulado 02</t>
        </is>
      </c>
      <c r="B304" s="8" t="n">
        <v>36</v>
      </c>
      <c r="C304" s="8" t="inlineStr">
        <is>
          <t>10ª Fase</t>
        </is>
      </c>
      <c r="D304" s="8" t="inlineStr">
        <is>
          <t>B</t>
        </is>
      </c>
      <c r="E304" s="8" t="n">
        <v>31</v>
      </c>
      <c r="F304" s="8" t="n">
        <v>19</v>
      </c>
      <c r="G304" s="9">
        <f>IF(E304=0,"",F304/E304)</f>
        <v/>
      </c>
      <c r="H304" s="7" t="inlineStr">
        <is>
          <t>OK</t>
        </is>
      </c>
    </row>
    <row r="305">
      <c r="A305" s="10" t="inlineStr">
        <is>
          <t>Simulado 02</t>
        </is>
      </c>
      <c r="B305" s="11" t="n">
        <v>36</v>
      </c>
      <c r="C305" s="11" t="inlineStr">
        <is>
          <t>11ª Fase</t>
        </is>
      </c>
      <c r="D305" s="11" t="inlineStr">
        <is>
          <t>B</t>
        </is>
      </c>
      <c r="E305" s="11" t="n">
        <v>29</v>
      </c>
      <c r="F305" s="11" t="n">
        <v>17</v>
      </c>
      <c r="G305" s="12">
        <f>IF(E305=0,"",F305/E305)</f>
        <v/>
      </c>
      <c r="H305" s="10" t="inlineStr">
        <is>
          <t>OK</t>
        </is>
      </c>
    </row>
    <row r="306">
      <c r="A306" s="7" t="inlineStr">
        <is>
          <t>Simulado 02</t>
        </is>
      </c>
      <c r="B306" s="8" t="n">
        <v>37</v>
      </c>
      <c r="C306" s="8" t="inlineStr">
        <is>
          <t>6ª Fase</t>
        </is>
      </c>
      <c r="D306" s="8" t="inlineStr">
        <is>
          <t>A</t>
        </is>
      </c>
      <c r="E306" s="8" t="n">
        <v>28</v>
      </c>
      <c r="F306" s="8" t="n">
        <v>16</v>
      </c>
      <c r="G306" s="9">
        <f>IF(E306=0,"",F306/E306)</f>
        <v/>
      </c>
      <c r="H306" s="7" t="inlineStr">
        <is>
          <t>OK</t>
        </is>
      </c>
    </row>
    <row r="307">
      <c r="A307" s="10" t="inlineStr">
        <is>
          <t>Simulado 02</t>
        </is>
      </c>
      <c r="B307" s="11" t="n">
        <v>37</v>
      </c>
      <c r="C307" s="11" t="inlineStr">
        <is>
          <t>7ª Fase</t>
        </is>
      </c>
      <c r="D307" s="11" t="inlineStr">
        <is>
          <t>A</t>
        </is>
      </c>
      <c r="E307" s="11" t="n">
        <v>32</v>
      </c>
      <c r="F307" s="11" t="n">
        <v>14</v>
      </c>
      <c r="G307" s="12">
        <f>IF(E307=0,"",F307/E307)</f>
        <v/>
      </c>
      <c r="H307" s="10" t="inlineStr">
        <is>
          <t>OK</t>
        </is>
      </c>
    </row>
    <row r="308">
      <c r="A308" s="7" t="inlineStr">
        <is>
          <t>Simulado 02</t>
        </is>
      </c>
      <c r="B308" s="8" t="n">
        <v>37</v>
      </c>
      <c r="C308" s="8" t="inlineStr">
        <is>
          <t>10ª Fase</t>
        </is>
      </c>
      <c r="D308" s="8" t="inlineStr">
        <is>
          <t>A</t>
        </is>
      </c>
      <c r="E308" s="8" t="n">
        <v>31</v>
      </c>
      <c r="F308" s="8" t="n">
        <v>20</v>
      </c>
      <c r="G308" s="9">
        <f>IF(E308=0,"",F308/E308)</f>
        <v/>
      </c>
      <c r="H308" s="7" t="inlineStr">
        <is>
          <t>OK</t>
        </is>
      </c>
    </row>
    <row r="309">
      <c r="A309" s="10" t="inlineStr">
        <is>
          <t>Simulado 02</t>
        </is>
      </c>
      <c r="B309" s="11" t="n">
        <v>37</v>
      </c>
      <c r="C309" s="11" t="inlineStr">
        <is>
          <t>11ª Fase</t>
        </is>
      </c>
      <c r="D309" s="11" t="inlineStr">
        <is>
          <t>A</t>
        </is>
      </c>
      <c r="E309" s="11" t="n">
        <v>29</v>
      </c>
      <c r="F309" s="11" t="n">
        <v>19</v>
      </c>
      <c r="G309" s="12">
        <f>IF(E309=0,"",F309/E309)</f>
        <v/>
      </c>
      <c r="H309" s="10" t="inlineStr">
        <is>
          <t>OK</t>
        </is>
      </c>
    </row>
    <row r="310">
      <c r="A310" s="7" t="inlineStr">
        <is>
          <t>Simulado 02</t>
        </is>
      </c>
      <c r="B310" s="8" t="n">
        <v>38</v>
      </c>
      <c r="C310" s="8" t="inlineStr">
        <is>
          <t>6ª Fase</t>
        </is>
      </c>
      <c r="D310" s="8" t="inlineStr">
        <is>
          <t>A</t>
        </is>
      </c>
      <c r="E310" s="8" t="n">
        <v>28</v>
      </c>
      <c r="F310" s="8" t="n">
        <v>14</v>
      </c>
      <c r="G310" s="9">
        <f>IF(E310=0,"",F310/E310)</f>
        <v/>
      </c>
      <c r="H310" s="7" t="inlineStr">
        <is>
          <t>OK</t>
        </is>
      </c>
    </row>
    <row r="311">
      <c r="A311" s="10" t="inlineStr">
        <is>
          <t>Simulado 02</t>
        </is>
      </c>
      <c r="B311" s="11" t="n">
        <v>38</v>
      </c>
      <c r="C311" s="11" t="inlineStr">
        <is>
          <t>7ª Fase</t>
        </is>
      </c>
      <c r="D311" s="11" t="inlineStr">
        <is>
          <t>A</t>
        </is>
      </c>
      <c r="E311" s="11" t="n">
        <v>32</v>
      </c>
      <c r="F311" s="11" t="n">
        <v>19</v>
      </c>
      <c r="G311" s="12">
        <f>IF(E311=0,"",F311/E311)</f>
        <v/>
      </c>
      <c r="H311" s="10" t="inlineStr">
        <is>
          <t>OK</t>
        </is>
      </c>
    </row>
    <row r="312">
      <c r="A312" s="7" t="inlineStr">
        <is>
          <t>Simulado 02</t>
        </is>
      </c>
      <c r="B312" s="8" t="n">
        <v>38</v>
      </c>
      <c r="C312" s="8" t="inlineStr">
        <is>
          <t>10ª Fase</t>
        </is>
      </c>
      <c r="D312" s="8" t="inlineStr">
        <is>
          <t>A</t>
        </is>
      </c>
      <c r="E312" s="8" t="n">
        <v>31</v>
      </c>
      <c r="F312" s="8" t="n">
        <v>16</v>
      </c>
      <c r="G312" s="9">
        <f>IF(E312=0,"",F312/E312)</f>
        <v/>
      </c>
      <c r="H312" s="7" t="inlineStr">
        <is>
          <t>OK</t>
        </is>
      </c>
    </row>
    <row r="313">
      <c r="A313" s="10" t="inlineStr">
        <is>
          <t>Simulado 02</t>
        </is>
      </c>
      <c r="B313" s="11" t="n">
        <v>38</v>
      </c>
      <c r="C313" s="11" t="inlineStr">
        <is>
          <t>11ª Fase</t>
        </is>
      </c>
      <c r="D313" s="11" t="inlineStr">
        <is>
          <t>A</t>
        </is>
      </c>
      <c r="E313" s="11" t="n">
        <v>29</v>
      </c>
      <c r="F313" s="11" t="n">
        <v>19</v>
      </c>
      <c r="G313" s="12">
        <f>IF(E313=0,"",F313/E313)</f>
        <v/>
      </c>
      <c r="H313" s="10" t="inlineStr">
        <is>
          <t>OK</t>
        </is>
      </c>
    </row>
    <row r="314">
      <c r="A314" s="7" t="inlineStr">
        <is>
          <t>Simulado 02</t>
        </is>
      </c>
      <c r="B314" s="8" t="n">
        <v>39</v>
      </c>
      <c r="C314" s="8" t="inlineStr">
        <is>
          <t>6ª Fase</t>
        </is>
      </c>
      <c r="D314" s="8" t="inlineStr">
        <is>
          <t>B</t>
        </is>
      </c>
      <c r="E314" s="8" t="n">
        <v>28</v>
      </c>
      <c r="F314" s="8" t="n">
        <v>14</v>
      </c>
      <c r="G314" s="9">
        <f>IF(E314=0,"",F314/E314)</f>
        <v/>
      </c>
      <c r="H314" s="7" t="inlineStr">
        <is>
          <t>OK</t>
        </is>
      </c>
    </row>
    <row r="315">
      <c r="A315" s="10" t="inlineStr">
        <is>
          <t>Simulado 02</t>
        </is>
      </c>
      <c r="B315" s="11" t="n">
        <v>39</v>
      </c>
      <c r="C315" s="11" t="inlineStr">
        <is>
          <t>7ª Fase</t>
        </is>
      </c>
      <c r="D315" s="11" t="inlineStr">
        <is>
          <t>B</t>
        </is>
      </c>
      <c r="E315" s="11" t="n">
        <v>32</v>
      </c>
      <c r="F315" s="11" t="n">
        <v>17</v>
      </c>
      <c r="G315" s="12">
        <f>IF(E315=0,"",F315/E315)</f>
        <v/>
      </c>
      <c r="H315" s="10" t="inlineStr">
        <is>
          <t>OK</t>
        </is>
      </c>
    </row>
    <row r="316">
      <c r="A316" s="7" t="inlineStr">
        <is>
          <t>Simulado 02</t>
        </is>
      </c>
      <c r="B316" s="8" t="n">
        <v>39</v>
      </c>
      <c r="C316" s="8" t="inlineStr">
        <is>
          <t>10ª Fase</t>
        </is>
      </c>
      <c r="D316" s="8" t="inlineStr">
        <is>
          <t>B</t>
        </is>
      </c>
      <c r="E316" s="8" t="n">
        <v>31</v>
      </c>
      <c r="F316" s="8" t="n">
        <v>19</v>
      </c>
      <c r="G316" s="9">
        <f>IF(E316=0,"",F316/E316)</f>
        <v/>
      </c>
      <c r="H316" s="7" t="inlineStr">
        <is>
          <t>OK</t>
        </is>
      </c>
    </row>
    <row r="317">
      <c r="A317" s="10" t="inlineStr">
        <is>
          <t>Simulado 02</t>
        </is>
      </c>
      <c r="B317" s="11" t="n">
        <v>39</v>
      </c>
      <c r="C317" s="11" t="inlineStr">
        <is>
          <t>11ª Fase</t>
        </is>
      </c>
      <c r="D317" s="11" t="inlineStr">
        <is>
          <t>B</t>
        </is>
      </c>
      <c r="E317" s="11" t="n">
        <v>29</v>
      </c>
      <c r="F317" s="11" t="n">
        <v>18</v>
      </c>
      <c r="G317" s="12">
        <f>IF(E317=0,"",F317/E317)</f>
        <v/>
      </c>
      <c r="H317" s="10" t="inlineStr">
        <is>
          <t>OK</t>
        </is>
      </c>
    </row>
    <row r="318">
      <c r="A318" s="7" t="inlineStr">
        <is>
          <t>Simulado 02</t>
        </is>
      </c>
      <c r="B318" s="8" t="n">
        <v>40</v>
      </c>
      <c r="C318" s="8" t="inlineStr">
        <is>
          <t>6ª Fase</t>
        </is>
      </c>
      <c r="D318" s="8" t="inlineStr">
        <is>
          <t>C</t>
        </is>
      </c>
      <c r="E318" s="8" t="n">
        <v>28</v>
      </c>
      <c r="F318" s="8" t="n">
        <v>25</v>
      </c>
      <c r="G318" s="9">
        <f>IF(E318=0,"",F318/E318)</f>
        <v/>
      </c>
      <c r="H318" s="7" t="inlineStr">
        <is>
          <t>OK</t>
        </is>
      </c>
    </row>
    <row r="319">
      <c r="A319" s="10" t="inlineStr">
        <is>
          <t>Simulado 02</t>
        </is>
      </c>
      <c r="B319" s="11" t="n">
        <v>40</v>
      </c>
      <c r="C319" s="11" t="inlineStr">
        <is>
          <t>7ª Fase</t>
        </is>
      </c>
      <c r="D319" s="11" t="inlineStr">
        <is>
          <t>C</t>
        </is>
      </c>
      <c r="E319" s="11" t="n">
        <v>32</v>
      </c>
      <c r="F319" s="11" t="n">
        <v>27</v>
      </c>
      <c r="G319" s="12">
        <f>IF(E319=0,"",F319/E319)</f>
        <v/>
      </c>
      <c r="H319" s="10" t="inlineStr">
        <is>
          <t>OK</t>
        </is>
      </c>
    </row>
    <row r="320">
      <c r="A320" s="7" t="inlineStr">
        <is>
          <t>Simulado 02</t>
        </is>
      </c>
      <c r="B320" s="8" t="n">
        <v>40</v>
      </c>
      <c r="C320" s="8" t="inlineStr">
        <is>
          <t>10ª Fase</t>
        </is>
      </c>
      <c r="D320" s="8" t="inlineStr">
        <is>
          <t>C</t>
        </is>
      </c>
      <c r="E320" s="8" t="n">
        <v>31</v>
      </c>
      <c r="F320" s="8" t="n">
        <v>30</v>
      </c>
      <c r="G320" s="9">
        <f>IF(E320=0,"",F320/E320)</f>
        <v/>
      </c>
      <c r="H320" s="7" t="inlineStr">
        <is>
          <t>OK</t>
        </is>
      </c>
    </row>
    <row r="321">
      <c r="A321" s="10" t="inlineStr">
        <is>
          <t>Simulado 02</t>
        </is>
      </c>
      <c r="B321" s="11" t="n">
        <v>40</v>
      </c>
      <c r="C321" s="11" t="inlineStr">
        <is>
          <t>11ª Fase</t>
        </is>
      </c>
      <c r="D321" s="11" t="inlineStr">
        <is>
          <t>C</t>
        </is>
      </c>
      <c r="E321" s="11" t="n">
        <v>29</v>
      </c>
      <c r="F321" s="11" t="n">
        <v>25</v>
      </c>
      <c r="G321" s="12">
        <f>IF(E321=0,"",F321/E321)</f>
        <v/>
      </c>
      <c r="H321" s="10" t="inlineStr">
        <is>
          <t>OK</t>
        </is>
      </c>
    </row>
    <row r="322">
      <c r="A322" s="7" t="inlineStr">
        <is>
          <t>Simulado 02</t>
        </is>
      </c>
      <c r="B322" s="8" t="n">
        <v>41</v>
      </c>
      <c r="C322" s="8" t="inlineStr">
        <is>
          <t>6ª Fase</t>
        </is>
      </c>
      <c r="D322" s="8" t="inlineStr">
        <is>
          <t>C</t>
        </is>
      </c>
      <c r="E322" s="8" t="n">
        <v>28</v>
      </c>
      <c r="F322" s="8" t="n">
        <v>25</v>
      </c>
      <c r="G322" s="9">
        <f>IF(E322=0,"",F322/E322)</f>
        <v/>
      </c>
      <c r="H322" s="7" t="inlineStr">
        <is>
          <t>OK</t>
        </is>
      </c>
    </row>
    <row r="323">
      <c r="A323" s="10" t="inlineStr">
        <is>
          <t>Simulado 02</t>
        </is>
      </c>
      <c r="B323" s="11" t="n">
        <v>41</v>
      </c>
      <c r="C323" s="11" t="inlineStr">
        <is>
          <t>7ª Fase</t>
        </is>
      </c>
      <c r="D323" s="11" t="inlineStr">
        <is>
          <t>C</t>
        </is>
      </c>
      <c r="E323" s="11" t="n">
        <v>32</v>
      </c>
      <c r="F323" s="11" t="n">
        <v>28</v>
      </c>
      <c r="G323" s="12">
        <f>IF(E323=0,"",F323/E323)</f>
        <v/>
      </c>
      <c r="H323" s="10" t="inlineStr">
        <is>
          <t>OK</t>
        </is>
      </c>
    </row>
    <row r="324">
      <c r="A324" s="7" t="inlineStr">
        <is>
          <t>Simulado 02</t>
        </is>
      </c>
      <c r="B324" s="8" t="n">
        <v>41</v>
      </c>
      <c r="C324" s="8" t="inlineStr">
        <is>
          <t>10ª Fase</t>
        </is>
      </c>
      <c r="D324" s="8" t="inlineStr">
        <is>
          <t>C</t>
        </is>
      </c>
      <c r="E324" s="8" t="n">
        <v>31</v>
      </c>
      <c r="F324" s="8" t="n">
        <v>28</v>
      </c>
      <c r="G324" s="9">
        <f>IF(E324=0,"",F324/E324)</f>
        <v/>
      </c>
      <c r="H324" s="7" t="inlineStr">
        <is>
          <t>OK</t>
        </is>
      </c>
    </row>
    <row r="325">
      <c r="A325" s="10" t="inlineStr">
        <is>
          <t>Simulado 02</t>
        </is>
      </c>
      <c r="B325" s="11" t="n">
        <v>41</v>
      </c>
      <c r="C325" s="11" t="inlineStr">
        <is>
          <t>11ª Fase</t>
        </is>
      </c>
      <c r="D325" s="11" t="inlineStr">
        <is>
          <t>C</t>
        </is>
      </c>
      <c r="E325" s="11" t="n">
        <v>29</v>
      </c>
      <c r="F325" s="11" t="n">
        <v>29</v>
      </c>
      <c r="G325" s="12">
        <f>IF(E325=0,"",F325/E325)</f>
        <v/>
      </c>
      <c r="H325" s="10" t="inlineStr">
        <is>
          <t>OK</t>
        </is>
      </c>
    </row>
    <row r="326">
      <c r="A326" s="7" t="inlineStr">
        <is>
          <t>Simulado 02</t>
        </is>
      </c>
      <c r="B326" s="8" t="n">
        <v>42</v>
      </c>
      <c r="C326" s="8" t="inlineStr">
        <is>
          <t>6ª Fase</t>
        </is>
      </c>
      <c r="D326" s="8" t="inlineStr">
        <is>
          <t>D</t>
        </is>
      </c>
      <c r="E326" s="8" t="n">
        <v>28</v>
      </c>
      <c r="F326" s="8" t="n">
        <v>17</v>
      </c>
      <c r="G326" s="9">
        <f>IF(E326=0,"",F326/E326)</f>
        <v/>
      </c>
      <c r="H326" s="7" t="inlineStr">
        <is>
          <t>OK</t>
        </is>
      </c>
    </row>
    <row r="327">
      <c r="A327" s="10" t="inlineStr">
        <is>
          <t>Simulado 02</t>
        </is>
      </c>
      <c r="B327" s="11" t="n">
        <v>42</v>
      </c>
      <c r="C327" s="11" t="inlineStr">
        <is>
          <t>7ª Fase</t>
        </is>
      </c>
      <c r="D327" s="11" t="inlineStr">
        <is>
          <t>D</t>
        </is>
      </c>
      <c r="E327" s="11" t="n">
        <v>32</v>
      </c>
      <c r="F327" s="11" t="n">
        <v>23</v>
      </c>
      <c r="G327" s="12">
        <f>IF(E327=0,"",F327/E327)</f>
        <v/>
      </c>
      <c r="H327" s="10" t="inlineStr">
        <is>
          <t>OK</t>
        </is>
      </c>
    </row>
    <row r="328">
      <c r="A328" s="7" t="inlineStr">
        <is>
          <t>Simulado 02</t>
        </is>
      </c>
      <c r="B328" s="8" t="n">
        <v>42</v>
      </c>
      <c r="C328" s="8" t="inlineStr">
        <is>
          <t>10ª Fase</t>
        </is>
      </c>
      <c r="D328" s="8" t="inlineStr">
        <is>
          <t>D</t>
        </is>
      </c>
      <c r="E328" s="8" t="n">
        <v>31</v>
      </c>
      <c r="F328" s="8" t="n">
        <v>29</v>
      </c>
      <c r="G328" s="9">
        <f>IF(E328=0,"",F328/E328)</f>
        <v/>
      </c>
      <c r="H328" s="7" t="inlineStr">
        <is>
          <t>OK</t>
        </is>
      </c>
    </row>
    <row r="329">
      <c r="A329" s="10" t="inlineStr">
        <is>
          <t>Simulado 02</t>
        </is>
      </c>
      <c r="B329" s="11" t="n">
        <v>42</v>
      </c>
      <c r="C329" s="11" t="inlineStr">
        <is>
          <t>11ª Fase</t>
        </is>
      </c>
      <c r="D329" s="11" t="inlineStr">
        <is>
          <t>D</t>
        </is>
      </c>
      <c r="E329" s="11" t="n">
        <v>29</v>
      </c>
      <c r="F329" s="11" t="n">
        <v>19</v>
      </c>
      <c r="G329" s="12">
        <f>IF(E329=0,"",F329/E329)</f>
        <v/>
      </c>
      <c r="H329" s="10" t="inlineStr">
        <is>
          <t>OK</t>
        </is>
      </c>
    </row>
    <row r="330">
      <c r="A330" s="7" t="inlineStr">
        <is>
          <t>Simulado 02</t>
        </is>
      </c>
      <c r="B330" s="8" t="n">
        <v>43</v>
      </c>
      <c r="C330" s="8" t="inlineStr">
        <is>
          <t>6ª Fase</t>
        </is>
      </c>
      <c r="D330" s="8" t="inlineStr">
        <is>
          <t>C</t>
        </is>
      </c>
      <c r="E330" s="8" t="n">
        <v>28</v>
      </c>
      <c r="F330" s="8" t="n">
        <v>28</v>
      </c>
      <c r="G330" s="9">
        <f>IF(E330=0,"",F330/E330)</f>
        <v/>
      </c>
      <c r="H330" s="7" t="inlineStr">
        <is>
          <t>OK</t>
        </is>
      </c>
    </row>
    <row r="331">
      <c r="A331" s="10" t="inlineStr">
        <is>
          <t>Simulado 02</t>
        </is>
      </c>
      <c r="B331" s="11" t="n">
        <v>43</v>
      </c>
      <c r="C331" s="11" t="inlineStr">
        <is>
          <t>7ª Fase</t>
        </is>
      </c>
      <c r="D331" s="11" t="inlineStr">
        <is>
          <t>C</t>
        </is>
      </c>
      <c r="E331" s="11" t="n">
        <v>32</v>
      </c>
      <c r="F331" s="11" t="n">
        <v>30</v>
      </c>
      <c r="G331" s="12">
        <f>IF(E331=0,"",F331/E331)</f>
        <v/>
      </c>
      <c r="H331" s="10" t="inlineStr">
        <is>
          <t>OK</t>
        </is>
      </c>
    </row>
    <row r="332">
      <c r="A332" s="7" t="inlineStr">
        <is>
          <t>Simulado 02</t>
        </is>
      </c>
      <c r="B332" s="8" t="n">
        <v>43</v>
      </c>
      <c r="C332" s="8" t="inlineStr">
        <is>
          <t>10ª Fase</t>
        </is>
      </c>
      <c r="D332" s="8" t="inlineStr">
        <is>
          <t>C</t>
        </is>
      </c>
      <c r="E332" s="8" t="n">
        <v>31</v>
      </c>
      <c r="F332" s="8" t="n">
        <v>30</v>
      </c>
      <c r="G332" s="9">
        <f>IF(E332=0,"",F332/E332)</f>
        <v/>
      </c>
      <c r="H332" s="7" t="inlineStr">
        <is>
          <t>OK</t>
        </is>
      </c>
    </row>
    <row r="333">
      <c r="A333" s="10" t="inlineStr">
        <is>
          <t>Simulado 02</t>
        </is>
      </c>
      <c r="B333" s="11" t="n">
        <v>43</v>
      </c>
      <c r="C333" s="11" t="inlineStr">
        <is>
          <t>11ª Fase</t>
        </is>
      </c>
      <c r="D333" s="11" t="inlineStr">
        <is>
          <t>C</t>
        </is>
      </c>
      <c r="E333" s="11" t="n">
        <v>29</v>
      </c>
      <c r="F333" s="11" t="n">
        <v>25</v>
      </c>
      <c r="G333" s="12">
        <f>IF(E333=0,"",F333/E333)</f>
        <v/>
      </c>
      <c r="H333" s="10" t="inlineStr">
        <is>
          <t>OK</t>
        </is>
      </c>
    </row>
    <row r="334">
      <c r="A334" s="7" t="inlineStr">
        <is>
          <t>Simulado 02</t>
        </is>
      </c>
      <c r="B334" s="8" t="n">
        <v>44</v>
      </c>
      <c r="C334" s="8" t="inlineStr">
        <is>
          <t>6ª Fase</t>
        </is>
      </c>
      <c r="D334" s="8" t="inlineStr">
        <is>
          <t>B</t>
        </is>
      </c>
      <c r="E334" s="8" t="n">
        <v>28</v>
      </c>
      <c r="F334" s="8" t="n">
        <v>20</v>
      </c>
      <c r="G334" s="9">
        <f>IF(E334=0,"",F334/E334)</f>
        <v/>
      </c>
      <c r="H334" s="7" t="inlineStr">
        <is>
          <t>OK</t>
        </is>
      </c>
    </row>
    <row r="335">
      <c r="A335" s="10" t="inlineStr">
        <is>
          <t>Simulado 02</t>
        </is>
      </c>
      <c r="B335" s="11" t="n">
        <v>44</v>
      </c>
      <c r="C335" s="11" t="inlineStr">
        <is>
          <t>7ª Fase</t>
        </is>
      </c>
      <c r="D335" s="11" t="inlineStr">
        <is>
          <t>B</t>
        </is>
      </c>
      <c r="E335" s="11" t="n">
        <v>32</v>
      </c>
      <c r="F335" s="11" t="n">
        <v>26</v>
      </c>
      <c r="G335" s="12">
        <f>IF(E335=0,"",F335/E335)</f>
        <v/>
      </c>
      <c r="H335" s="10" t="inlineStr">
        <is>
          <t>OK</t>
        </is>
      </c>
    </row>
    <row r="336">
      <c r="A336" s="7" t="inlineStr">
        <is>
          <t>Simulado 02</t>
        </is>
      </c>
      <c r="B336" s="8" t="n">
        <v>44</v>
      </c>
      <c r="C336" s="8" t="inlineStr">
        <is>
          <t>10ª Fase</t>
        </is>
      </c>
      <c r="D336" s="8" t="inlineStr">
        <is>
          <t>B</t>
        </is>
      </c>
      <c r="E336" s="8" t="n">
        <v>31</v>
      </c>
      <c r="F336" s="8" t="n">
        <v>27</v>
      </c>
      <c r="G336" s="9">
        <f>IF(E336=0,"",F336/E336)</f>
        <v/>
      </c>
      <c r="H336" s="7" t="inlineStr">
        <is>
          <t>OK</t>
        </is>
      </c>
    </row>
    <row r="337">
      <c r="A337" s="10" t="inlineStr">
        <is>
          <t>Simulado 02</t>
        </is>
      </c>
      <c r="B337" s="11" t="n">
        <v>44</v>
      </c>
      <c r="C337" s="11" t="inlineStr">
        <is>
          <t>11ª Fase</t>
        </is>
      </c>
      <c r="D337" s="11" t="inlineStr">
        <is>
          <t>B</t>
        </is>
      </c>
      <c r="E337" s="11" t="n">
        <v>29</v>
      </c>
      <c r="F337" s="11" t="n">
        <v>26</v>
      </c>
      <c r="G337" s="12">
        <f>IF(E337=0,"",F337/E337)</f>
        <v/>
      </c>
      <c r="H337" s="10" t="inlineStr">
        <is>
          <t>OK</t>
        </is>
      </c>
    </row>
    <row r="338">
      <c r="A338" s="7" t="inlineStr">
        <is>
          <t>Simulado 02</t>
        </is>
      </c>
      <c r="B338" s="8" t="n">
        <v>45</v>
      </c>
      <c r="C338" s="8" t="inlineStr">
        <is>
          <t>6ª Fase</t>
        </is>
      </c>
      <c r="D338" s="8" t="inlineStr">
        <is>
          <t>A</t>
        </is>
      </c>
      <c r="E338" s="8" t="n">
        <v>28</v>
      </c>
      <c r="F338" s="8" t="n">
        <v>20</v>
      </c>
      <c r="G338" s="9">
        <f>IF(E338=0,"",F338/E338)</f>
        <v/>
      </c>
      <c r="H338" s="7" t="inlineStr">
        <is>
          <t>OK</t>
        </is>
      </c>
    </row>
    <row r="339">
      <c r="A339" s="10" t="inlineStr">
        <is>
          <t>Simulado 02</t>
        </is>
      </c>
      <c r="B339" s="11" t="n">
        <v>45</v>
      </c>
      <c r="C339" s="11" t="inlineStr">
        <is>
          <t>7ª Fase</t>
        </is>
      </c>
      <c r="D339" s="11" t="inlineStr">
        <is>
          <t>A</t>
        </is>
      </c>
      <c r="E339" s="11" t="n">
        <v>32</v>
      </c>
      <c r="F339" s="11" t="n">
        <v>17</v>
      </c>
      <c r="G339" s="12">
        <f>IF(E339=0,"",F339/E339)</f>
        <v/>
      </c>
      <c r="H339" s="10" t="inlineStr">
        <is>
          <t>OK</t>
        </is>
      </c>
    </row>
    <row r="340">
      <c r="A340" s="7" t="inlineStr">
        <is>
          <t>Simulado 02</t>
        </is>
      </c>
      <c r="B340" s="8" t="n">
        <v>45</v>
      </c>
      <c r="C340" s="8" t="inlineStr">
        <is>
          <t>10ª Fase</t>
        </is>
      </c>
      <c r="D340" s="8" t="inlineStr">
        <is>
          <t>A</t>
        </is>
      </c>
      <c r="E340" s="8" t="n">
        <v>31</v>
      </c>
      <c r="F340" s="8" t="n">
        <v>22</v>
      </c>
      <c r="G340" s="9">
        <f>IF(E340=0,"",F340/E340)</f>
        <v/>
      </c>
      <c r="H340" s="7" t="inlineStr">
        <is>
          <t>OK</t>
        </is>
      </c>
    </row>
    <row r="341">
      <c r="A341" s="10" t="inlineStr">
        <is>
          <t>Simulado 02</t>
        </is>
      </c>
      <c r="B341" s="11" t="n">
        <v>45</v>
      </c>
      <c r="C341" s="11" t="inlineStr">
        <is>
          <t>11ª Fase</t>
        </is>
      </c>
      <c r="D341" s="11" t="inlineStr">
        <is>
          <t>A</t>
        </is>
      </c>
      <c r="E341" s="11" t="n">
        <v>29</v>
      </c>
      <c r="F341" s="11" t="n">
        <v>18</v>
      </c>
      <c r="G341" s="12">
        <f>IF(E341=0,"",F341/E341)</f>
        <v/>
      </c>
      <c r="H341" s="10" t="inlineStr">
        <is>
          <t>OK</t>
        </is>
      </c>
    </row>
    <row r="342">
      <c r="A342" s="7" t="inlineStr">
        <is>
          <t>Simulado 02</t>
        </is>
      </c>
      <c r="B342" s="8" t="n">
        <v>46</v>
      </c>
      <c r="C342" s="8" t="inlineStr">
        <is>
          <t>6ª Fase</t>
        </is>
      </c>
      <c r="D342" s="8" t="inlineStr">
        <is>
          <t>B</t>
        </is>
      </c>
      <c r="E342" s="8" t="n">
        <v>28</v>
      </c>
      <c r="F342" s="8" t="n">
        <v>1</v>
      </c>
      <c r="G342" s="9">
        <f>IF(E342=0,"",F342/E342)</f>
        <v/>
      </c>
      <c r="H342" s="7" t="inlineStr">
        <is>
          <t>OK</t>
        </is>
      </c>
    </row>
    <row r="343">
      <c r="A343" s="10" t="inlineStr">
        <is>
          <t>Simulado 02</t>
        </is>
      </c>
      <c r="B343" s="11" t="n">
        <v>46</v>
      </c>
      <c r="C343" s="11" t="inlineStr">
        <is>
          <t>7ª Fase</t>
        </is>
      </c>
      <c r="D343" s="11" t="inlineStr">
        <is>
          <t>B</t>
        </is>
      </c>
      <c r="E343" s="11" t="n">
        <v>32</v>
      </c>
      <c r="F343" s="11" t="n">
        <v>6</v>
      </c>
      <c r="G343" s="12">
        <f>IF(E343=0,"",F343/E343)</f>
        <v/>
      </c>
      <c r="H343" s="10" t="inlineStr">
        <is>
          <t>OK</t>
        </is>
      </c>
    </row>
    <row r="344">
      <c r="A344" s="7" t="inlineStr">
        <is>
          <t>Simulado 02</t>
        </is>
      </c>
      <c r="B344" s="8" t="n">
        <v>46</v>
      </c>
      <c r="C344" s="8" t="inlineStr">
        <is>
          <t>10ª Fase</t>
        </is>
      </c>
      <c r="D344" s="8" t="inlineStr">
        <is>
          <t>B</t>
        </is>
      </c>
      <c r="E344" s="8" t="n">
        <v>31</v>
      </c>
      <c r="F344" s="8" t="n">
        <v>9</v>
      </c>
      <c r="G344" s="9">
        <f>IF(E344=0,"",F344/E344)</f>
        <v/>
      </c>
      <c r="H344" s="7" t="inlineStr">
        <is>
          <t>OK</t>
        </is>
      </c>
    </row>
    <row r="345">
      <c r="A345" s="10" t="inlineStr">
        <is>
          <t>Simulado 02</t>
        </is>
      </c>
      <c r="B345" s="11" t="n">
        <v>46</v>
      </c>
      <c r="C345" s="11" t="inlineStr">
        <is>
          <t>11ª Fase</t>
        </is>
      </c>
      <c r="D345" s="11" t="inlineStr">
        <is>
          <t>B</t>
        </is>
      </c>
      <c r="E345" s="11" t="n">
        <v>29</v>
      </c>
      <c r="F345" s="11" t="n">
        <v>12</v>
      </c>
      <c r="G345" s="12">
        <f>IF(E345=0,"",F345/E345)</f>
        <v/>
      </c>
      <c r="H345" s="10" t="inlineStr">
        <is>
          <t>OK</t>
        </is>
      </c>
    </row>
    <row r="346">
      <c r="A346" s="7" t="inlineStr">
        <is>
          <t>Simulado 02</t>
        </is>
      </c>
      <c r="B346" s="8" t="n">
        <v>47</v>
      </c>
      <c r="C346" s="8" t="inlineStr">
        <is>
          <t>6ª Fase</t>
        </is>
      </c>
      <c r="D346" s="8" t="inlineStr">
        <is>
          <t>B</t>
        </is>
      </c>
      <c r="E346" s="8" t="n">
        <v>28</v>
      </c>
      <c r="F346" s="8" t="n">
        <v>20</v>
      </c>
      <c r="G346" s="9">
        <f>IF(E346=0,"",F346/E346)</f>
        <v/>
      </c>
      <c r="H346" s="7" t="inlineStr">
        <is>
          <t>OK</t>
        </is>
      </c>
    </row>
    <row r="347">
      <c r="A347" s="10" t="inlineStr">
        <is>
          <t>Simulado 02</t>
        </is>
      </c>
      <c r="B347" s="11" t="n">
        <v>47</v>
      </c>
      <c r="C347" s="11" t="inlineStr">
        <is>
          <t>7ª Fase</t>
        </is>
      </c>
      <c r="D347" s="11" t="inlineStr">
        <is>
          <t>B</t>
        </is>
      </c>
      <c r="E347" s="11" t="n">
        <v>32</v>
      </c>
      <c r="F347" s="11" t="n">
        <v>23</v>
      </c>
      <c r="G347" s="12">
        <f>IF(E347=0,"",F347/E347)</f>
        <v/>
      </c>
      <c r="H347" s="10" t="inlineStr">
        <is>
          <t>OK</t>
        </is>
      </c>
    </row>
    <row r="348">
      <c r="A348" s="7" t="inlineStr">
        <is>
          <t>Simulado 02</t>
        </is>
      </c>
      <c r="B348" s="8" t="n">
        <v>47</v>
      </c>
      <c r="C348" s="8" t="inlineStr">
        <is>
          <t>10ª Fase</t>
        </is>
      </c>
      <c r="D348" s="8" t="inlineStr">
        <is>
          <t>B</t>
        </is>
      </c>
      <c r="E348" s="8" t="n">
        <v>31</v>
      </c>
      <c r="F348" s="8" t="n">
        <v>29</v>
      </c>
      <c r="G348" s="9">
        <f>IF(E348=0,"",F348/E348)</f>
        <v/>
      </c>
      <c r="H348" s="7" t="inlineStr">
        <is>
          <t>OK</t>
        </is>
      </c>
    </row>
    <row r="349">
      <c r="A349" s="10" t="inlineStr">
        <is>
          <t>Simulado 02</t>
        </is>
      </c>
      <c r="B349" s="11" t="n">
        <v>47</v>
      </c>
      <c r="C349" s="11" t="inlineStr">
        <is>
          <t>11ª Fase</t>
        </is>
      </c>
      <c r="D349" s="11" t="inlineStr">
        <is>
          <t>B</t>
        </is>
      </c>
      <c r="E349" s="11" t="n">
        <v>29</v>
      </c>
      <c r="F349" s="11" t="n">
        <v>25</v>
      </c>
      <c r="G349" s="12">
        <f>IF(E349=0,"",F349/E349)</f>
        <v/>
      </c>
      <c r="H349" s="10" t="inlineStr">
        <is>
          <t>OK</t>
        </is>
      </c>
    </row>
    <row r="350">
      <c r="A350" s="7" t="inlineStr">
        <is>
          <t>Simulado 02</t>
        </is>
      </c>
      <c r="B350" s="8" t="n">
        <v>48</v>
      </c>
      <c r="C350" s="8" t="inlineStr">
        <is>
          <t>6ª Fase</t>
        </is>
      </c>
      <c r="D350" s="8" t="inlineStr">
        <is>
          <t>C</t>
        </is>
      </c>
      <c r="E350" s="8" t="n">
        <v>28</v>
      </c>
      <c r="F350" s="8" t="n">
        <v>3</v>
      </c>
      <c r="G350" s="9">
        <f>IF(E350=0,"",F350/E350)</f>
        <v/>
      </c>
      <c r="H350" s="7" t="inlineStr">
        <is>
          <t>OK</t>
        </is>
      </c>
    </row>
    <row r="351">
      <c r="A351" s="10" t="inlineStr">
        <is>
          <t>Simulado 02</t>
        </is>
      </c>
      <c r="B351" s="11" t="n">
        <v>48</v>
      </c>
      <c r="C351" s="11" t="inlineStr">
        <is>
          <t>7ª Fase</t>
        </is>
      </c>
      <c r="D351" s="11" t="inlineStr">
        <is>
          <t>C</t>
        </is>
      </c>
      <c r="E351" s="11" t="n">
        <v>32</v>
      </c>
      <c r="F351" s="11" t="n">
        <v>4</v>
      </c>
      <c r="G351" s="12">
        <f>IF(E351=0,"",F351/E351)</f>
        <v/>
      </c>
      <c r="H351" s="10" t="inlineStr">
        <is>
          <t>OK</t>
        </is>
      </c>
    </row>
    <row r="352">
      <c r="A352" s="7" t="inlineStr">
        <is>
          <t>Simulado 02</t>
        </is>
      </c>
      <c r="B352" s="8" t="n">
        <v>48</v>
      </c>
      <c r="C352" s="8" t="inlineStr">
        <is>
          <t>10ª Fase</t>
        </is>
      </c>
      <c r="D352" s="8" t="inlineStr">
        <is>
          <t>C</t>
        </is>
      </c>
      <c r="E352" s="8" t="n">
        <v>31</v>
      </c>
      <c r="F352" s="8" t="n">
        <v>6</v>
      </c>
      <c r="G352" s="9">
        <f>IF(E352=0,"",F352/E352)</f>
        <v/>
      </c>
      <c r="H352" s="7" t="inlineStr">
        <is>
          <t>OK</t>
        </is>
      </c>
    </row>
    <row r="353">
      <c r="A353" s="10" t="inlineStr">
        <is>
          <t>Simulado 02</t>
        </is>
      </c>
      <c r="B353" s="11" t="n">
        <v>48</v>
      </c>
      <c r="C353" s="11" t="inlineStr">
        <is>
          <t>11ª Fase</t>
        </is>
      </c>
      <c r="D353" s="11" t="inlineStr">
        <is>
          <t>C</t>
        </is>
      </c>
      <c r="E353" s="11" t="n">
        <v>29</v>
      </c>
      <c r="F353" s="11" t="n">
        <v>6</v>
      </c>
      <c r="G353" s="12">
        <f>IF(E353=0,"",F353/E353)</f>
        <v/>
      </c>
      <c r="H353" s="10" t="inlineStr">
        <is>
          <t>OK</t>
        </is>
      </c>
    </row>
    <row r="354">
      <c r="A354" s="7" t="inlineStr">
        <is>
          <t>Simulado 02</t>
        </is>
      </c>
      <c r="B354" s="8" t="n">
        <v>49</v>
      </c>
      <c r="C354" s="8" t="inlineStr">
        <is>
          <t>6ª Fase</t>
        </is>
      </c>
      <c r="D354" s="8" t="inlineStr">
        <is>
          <t>A</t>
        </is>
      </c>
      <c r="E354" s="8" t="n">
        <v>28</v>
      </c>
      <c r="F354" s="8" t="n">
        <v>5</v>
      </c>
      <c r="G354" s="9">
        <f>IF(E354=0,"",F354/E354)</f>
        <v/>
      </c>
      <c r="H354" s="7" t="inlineStr">
        <is>
          <t>OK</t>
        </is>
      </c>
    </row>
    <row r="355">
      <c r="A355" s="10" t="inlineStr">
        <is>
          <t>Simulado 02</t>
        </is>
      </c>
      <c r="B355" s="11" t="n">
        <v>49</v>
      </c>
      <c r="C355" s="11" t="inlineStr">
        <is>
          <t>7ª Fase</t>
        </is>
      </c>
      <c r="D355" s="11" t="inlineStr">
        <is>
          <t>A</t>
        </is>
      </c>
      <c r="E355" s="11" t="n">
        <v>32</v>
      </c>
      <c r="F355" s="11" t="n">
        <v>2</v>
      </c>
      <c r="G355" s="12">
        <f>IF(E355=0,"",F355/E355)</f>
        <v/>
      </c>
      <c r="H355" s="10" t="inlineStr">
        <is>
          <t>OK</t>
        </is>
      </c>
    </row>
    <row r="356">
      <c r="A356" s="7" t="inlineStr">
        <is>
          <t>Simulado 02</t>
        </is>
      </c>
      <c r="B356" s="8" t="n">
        <v>49</v>
      </c>
      <c r="C356" s="8" t="inlineStr">
        <is>
          <t>10ª Fase</t>
        </is>
      </c>
      <c r="D356" s="8" t="inlineStr">
        <is>
          <t>A</t>
        </is>
      </c>
      <c r="E356" s="8" t="n">
        <v>31</v>
      </c>
      <c r="F356" s="8" t="n">
        <v>3</v>
      </c>
      <c r="G356" s="9">
        <f>IF(E356=0,"",F356/E356)</f>
        <v/>
      </c>
      <c r="H356" s="7" t="inlineStr">
        <is>
          <t>OK</t>
        </is>
      </c>
    </row>
    <row r="357">
      <c r="A357" s="10" t="inlineStr">
        <is>
          <t>Simulado 02</t>
        </is>
      </c>
      <c r="B357" s="11" t="n">
        <v>49</v>
      </c>
      <c r="C357" s="11" t="inlineStr">
        <is>
          <t>11ª Fase</t>
        </is>
      </c>
      <c r="D357" s="11" t="inlineStr">
        <is>
          <t>A</t>
        </is>
      </c>
      <c r="E357" s="11" t="n">
        <v>29</v>
      </c>
      <c r="F357" s="11" t="n">
        <v>3</v>
      </c>
      <c r="G357" s="12">
        <f>IF(E357=0,"",F357/E357)</f>
        <v/>
      </c>
      <c r="H357" s="10" t="inlineStr">
        <is>
          <t>OK</t>
        </is>
      </c>
    </row>
    <row r="358">
      <c r="A358" s="7" t="inlineStr">
        <is>
          <t>Simulado 02</t>
        </is>
      </c>
      <c r="B358" s="8" t="n">
        <v>50</v>
      </c>
      <c r="C358" s="8" t="inlineStr">
        <is>
          <t>6ª Fase</t>
        </is>
      </c>
      <c r="D358" s="8" t="inlineStr">
        <is>
          <t>D</t>
        </is>
      </c>
      <c r="E358" s="8" t="n">
        <v>28</v>
      </c>
      <c r="F358" s="8" t="n">
        <v>11</v>
      </c>
      <c r="G358" s="9">
        <f>IF(E358=0,"",F358/E358)</f>
        <v/>
      </c>
      <c r="H358" s="7" t="inlineStr">
        <is>
          <t>OK</t>
        </is>
      </c>
    </row>
    <row r="359">
      <c r="A359" s="10" t="inlineStr">
        <is>
          <t>Simulado 02</t>
        </is>
      </c>
      <c r="B359" s="11" t="n">
        <v>50</v>
      </c>
      <c r="C359" s="11" t="inlineStr">
        <is>
          <t>7ª Fase</t>
        </is>
      </c>
      <c r="D359" s="11" t="inlineStr">
        <is>
          <t>D</t>
        </is>
      </c>
      <c r="E359" s="11" t="n">
        <v>32</v>
      </c>
      <c r="F359" s="11" t="n">
        <v>20</v>
      </c>
      <c r="G359" s="12">
        <f>IF(E359=0,"",F359/E359)</f>
        <v/>
      </c>
      <c r="H359" s="10" t="inlineStr">
        <is>
          <t>OK</t>
        </is>
      </c>
    </row>
    <row r="360">
      <c r="A360" s="7" t="inlineStr">
        <is>
          <t>Simulado 02</t>
        </is>
      </c>
      <c r="B360" s="8" t="n">
        <v>50</v>
      </c>
      <c r="C360" s="8" t="inlineStr">
        <is>
          <t>10ª Fase</t>
        </is>
      </c>
      <c r="D360" s="8" t="inlineStr">
        <is>
          <t>D</t>
        </is>
      </c>
      <c r="E360" s="8" t="n">
        <v>31</v>
      </c>
      <c r="F360" s="8" t="n">
        <v>22</v>
      </c>
      <c r="G360" s="9">
        <f>IF(E360=0,"",F360/E360)</f>
        <v/>
      </c>
      <c r="H360" s="7" t="inlineStr">
        <is>
          <t>OK</t>
        </is>
      </c>
    </row>
    <row r="361">
      <c r="A361" s="10" t="inlineStr">
        <is>
          <t>Simulado 02</t>
        </is>
      </c>
      <c r="B361" s="11" t="n">
        <v>50</v>
      </c>
      <c r="C361" s="11" t="inlineStr">
        <is>
          <t>11ª Fase</t>
        </is>
      </c>
      <c r="D361" s="11" t="inlineStr">
        <is>
          <t>D</t>
        </is>
      </c>
      <c r="E361" s="11" t="n">
        <v>29</v>
      </c>
      <c r="F361" s="11" t="n">
        <v>25</v>
      </c>
      <c r="G361" s="12">
        <f>IF(E361=0,"",F361/E361)</f>
        <v/>
      </c>
      <c r="H361" s="10" t="inlineStr">
        <is>
          <t>OK</t>
        </is>
      </c>
    </row>
    <row r="362">
      <c r="A362" s="7" t="inlineStr">
        <is>
          <t>Simulado 02</t>
        </is>
      </c>
      <c r="B362" s="8" t="n">
        <v>51</v>
      </c>
      <c r="C362" s="8" t="inlineStr">
        <is>
          <t>6ª Fase</t>
        </is>
      </c>
      <c r="D362" s="8" t="inlineStr">
        <is>
          <t>C</t>
        </is>
      </c>
      <c r="E362" s="8" t="n">
        <v>28</v>
      </c>
      <c r="F362" s="8" t="n">
        <v>10</v>
      </c>
      <c r="G362" s="9">
        <f>IF(E362=0,"",F362/E362)</f>
        <v/>
      </c>
      <c r="H362" s="7" t="inlineStr">
        <is>
          <t>OK</t>
        </is>
      </c>
    </row>
    <row r="363">
      <c r="A363" s="10" t="inlineStr">
        <is>
          <t>Simulado 02</t>
        </is>
      </c>
      <c r="B363" s="11" t="n">
        <v>51</v>
      </c>
      <c r="C363" s="11" t="inlineStr">
        <is>
          <t>7ª Fase</t>
        </is>
      </c>
      <c r="D363" s="11" t="inlineStr">
        <is>
          <t>C</t>
        </is>
      </c>
      <c r="E363" s="11" t="n">
        <v>32</v>
      </c>
      <c r="F363" s="11" t="n">
        <v>11</v>
      </c>
      <c r="G363" s="12">
        <f>IF(E363=0,"",F363/E363)</f>
        <v/>
      </c>
      <c r="H363" s="10" t="inlineStr">
        <is>
          <t>OK</t>
        </is>
      </c>
    </row>
    <row r="364">
      <c r="A364" s="7" t="inlineStr">
        <is>
          <t>Simulado 02</t>
        </is>
      </c>
      <c r="B364" s="8" t="n">
        <v>51</v>
      </c>
      <c r="C364" s="8" t="inlineStr">
        <is>
          <t>10ª Fase</t>
        </is>
      </c>
      <c r="D364" s="8" t="inlineStr">
        <is>
          <t>C</t>
        </is>
      </c>
      <c r="E364" s="8" t="n">
        <v>31</v>
      </c>
      <c r="F364" s="8" t="n">
        <v>12</v>
      </c>
      <c r="G364" s="9">
        <f>IF(E364=0,"",F364/E364)</f>
        <v/>
      </c>
      <c r="H364" s="7" t="inlineStr">
        <is>
          <t>OK</t>
        </is>
      </c>
    </row>
    <row r="365">
      <c r="A365" s="10" t="inlineStr">
        <is>
          <t>Simulado 02</t>
        </is>
      </c>
      <c r="B365" s="11" t="n">
        <v>51</v>
      </c>
      <c r="C365" s="11" t="inlineStr">
        <is>
          <t>11ª Fase</t>
        </is>
      </c>
      <c r="D365" s="11" t="inlineStr">
        <is>
          <t>C</t>
        </is>
      </c>
      <c r="E365" s="11" t="n">
        <v>29</v>
      </c>
      <c r="F365" s="11" t="n">
        <v>8</v>
      </c>
      <c r="G365" s="12">
        <f>IF(E365=0,"",F365/E365)</f>
        <v/>
      </c>
      <c r="H365" s="10" t="inlineStr">
        <is>
          <t>OK</t>
        </is>
      </c>
    </row>
    <row r="366">
      <c r="A366" s="7" t="inlineStr">
        <is>
          <t>Simulado 02</t>
        </is>
      </c>
      <c r="B366" s="8" t="n">
        <v>52</v>
      </c>
      <c r="C366" s="8" t="inlineStr">
        <is>
          <t>6ª Fase</t>
        </is>
      </c>
      <c r="D366" s="8" t="inlineStr">
        <is>
          <t>C</t>
        </is>
      </c>
      <c r="E366" s="8" t="n">
        <v>28</v>
      </c>
      <c r="F366" s="8" t="n">
        <v>27</v>
      </c>
      <c r="G366" s="9">
        <f>IF(E366=0,"",F366/E366)</f>
        <v/>
      </c>
      <c r="H366" s="7" t="inlineStr">
        <is>
          <t>OK</t>
        </is>
      </c>
    </row>
    <row r="367">
      <c r="A367" s="10" t="inlineStr">
        <is>
          <t>Simulado 02</t>
        </is>
      </c>
      <c r="B367" s="11" t="n">
        <v>52</v>
      </c>
      <c r="C367" s="11" t="inlineStr">
        <is>
          <t>7ª Fase</t>
        </is>
      </c>
      <c r="D367" s="11" t="inlineStr">
        <is>
          <t>C</t>
        </is>
      </c>
      <c r="E367" s="11" t="n">
        <v>32</v>
      </c>
      <c r="F367" s="11" t="n">
        <v>29</v>
      </c>
      <c r="G367" s="12">
        <f>IF(E367=0,"",F367/E367)</f>
        <v/>
      </c>
      <c r="H367" s="10" t="inlineStr">
        <is>
          <t>OK</t>
        </is>
      </c>
    </row>
    <row r="368">
      <c r="A368" s="7" t="inlineStr">
        <is>
          <t>Simulado 02</t>
        </is>
      </c>
      <c r="B368" s="8" t="n">
        <v>52</v>
      </c>
      <c r="C368" s="8" t="inlineStr">
        <is>
          <t>10ª Fase</t>
        </is>
      </c>
      <c r="D368" s="8" t="inlineStr">
        <is>
          <t>C</t>
        </is>
      </c>
      <c r="E368" s="8" t="n">
        <v>31</v>
      </c>
      <c r="F368" s="8" t="n">
        <v>30</v>
      </c>
      <c r="G368" s="9">
        <f>IF(E368=0,"",F368/E368)</f>
        <v/>
      </c>
      <c r="H368" s="7" t="inlineStr">
        <is>
          <t>OK</t>
        </is>
      </c>
    </row>
    <row r="369">
      <c r="A369" s="10" t="inlineStr">
        <is>
          <t>Simulado 02</t>
        </is>
      </c>
      <c r="B369" s="11" t="n">
        <v>52</v>
      </c>
      <c r="C369" s="11" t="inlineStr">
        <is>
          <t>11ª Fase</t>
        </is>
      </c>
      <c r="D369" s="11" t="inlineStr">
        <is>
          <t>C</t>
        </is>
      </c>
      <c r="E369" s="11" t="n">
        <v>29</v>
      </c>
      <c r="F369" s="11" t="n">
        <v>28</v>
      </c>
      <c r="G369" s="12">
        <f>IF(E369=0,"",F369/E369)</f>
        <v/>
      </c>
      <c r="H369" s="10" t="inlineStr">
        <is>
          <t>OK</t>
        </is>
      </c>
    </row>
    <row r="370">
      <c r="A370" s="7" t="inlineStr">
        <is>
          <t>Simulado 02</t>
        </is>
      </c>
      <c r="B370" s="8" t="n">
        <v>53</v>
      </c>
      <c r="C370" s="8" t="inlineStr">
        <is>
          <t>6ª Fase</t>
        </is>
      </c>
      <c r="D370" s="8" t="inlineStr">
        <is>
          <t>E</t>
        </is>
      </c>
      <c r="E370" s="8" t="n">
        <v>28</v>
      </c>
      <c r="F370" s="8" t="n">
        <v>7</v>
      </c>
      <c r="G370" s="9">
        <f>IF(E370=0,"",F370/E370)</f>
        <v/>
      </c>
      <c r="H370" s="7" t="inlineStr">
        <is>
          <t>OK</t>
        </is>
      </c>
    </row>
    <row r="371">
      <c r="A371" s="10" t="inlineStr">
        <is>
          <t>Simulado 02</t>
        </is>
      </c>
      <c r="B371" s="11" t="n">
        <v>53</v>
      </c>
      <c r="C371" s="11" t="inlineStr">
        <is>
          <t>7ª Fase</t>
        </is>
      </c>
      <c r="D371" s="11" t="inlineStr">
        <is>
          <t>E</t>
        </is>
      </c>
      <c r="E371" s="11" t="n">
        <v>32</v>
      </c>
      <c r="F371" s="11" t="n">
        <v>16</v>
      </c>
      <c r="G371" s="12">
        <f>IF(E371=0,"",F371/E371)</f>
        <v/>
      </c>
      <c r="H371" s="10" t="inlineStr">
        <is>
          <t>OK</t>
        </is>
      </c>
    </row>
    <row r="372">
      <c r="A372" s="7" t="inlineStr">
        <is>
          <t>Simulado 02</t>
        </is>
      </c>
      <c r="B372" s="8" t="n">
        <v>53</v>
      </c>
      <c r="C372" s="8" t="inlineStr">
        <is>
          <t>10ª Fase</t>
        </is>
      </c>
      <c r="D372" s="8" t="inlineStr">
        <is>
          <t>E</t>
        </is>
      </c>
      <c r="E372" s="8" t="n">
        <v>31</v>
      </c>
      <c r="F372" s="8" t="n">
        <v>17</v>
      </c>
      <c r="G372" s="9">
        <f>IF(E372=0,"",F372/E372)</f>
        <v/>
      </c>
      <c r="H372" s="7" t="inlineStr">
        <is>
          <t>OK</t>
        </is>
      </c>
    </row>
    <row r="373">
      <c r="A373" s="10" t="inlineStr">
        <is>
          <t>Simulado 02</t>
        </is>
      </c>
      <c r="B373" s="11" t="n">
        <v>53</v>
      </c>
      <c r="C373" s="11" t="inlineStr">
        <is>
          <t>11ª Fase</t>
        </is>
      </c>
      <c r="D373" s="11" t="inlineStr">
        <is>
          <t>E</t>
        </is>
      </c>
      <c r="E373" s="11" t="n">
        <v>29</v>
      </c>
      <c r="F373" s="11" t="n">
        <v>7</v>
      </c>
      <c r="G373" s="12">
        <f>IF(E373=0,"",F373/E373)</f>
        <v/>
      </c>
      <c r="H373" s="10" t="inlineStr">
        <is>
          <t>OK</t>
        </is>
      </c>
    </row>
    <row r="374">
      <c r="A374" s="7" t="inlineStr">
        <is>
          <t>Simulado 02</t>
        </is>
      </c>
      <c r="B374" s="8" t="n">
        <v>54</v>
      </c>
      <c r="C374" s="8" t="inlineStr">
        <is>
          <t>6ª Fase</t>
        </is>
      </c>
      <c r="D374" s="8" t="inlineStr">
        <is>
          <t>E</t>
        </is>
      </c>
      <c r="E374" s="8" t="n">
        <v>28</v>
      </c>
      <c r="F374" s="8" t="n">
        <v>16</v>
      </c>
      <c r="G374" s="9">
        <f>IF(E374=0,"",F374/E374)</f>
        <v/>
      </c>
      <c r="H374" s="7" t="inlineStr">
        <is>
          <t>OK</t>
        </is>
      </c>
    </row>
    <row r="375">
      <c r="A375" s="10" t="inlineStr">
        <is>
          <t>Simulado 02</t>
        </is>
      </c>
      <c r="B375" s="11" t="n">
        <v>54</v>
      </c>
      <c r="C375" s="11" t="inlineStr">
        <is>
          <t>7ª Fase</t>
        </is>
      </c>
      <c r="D375" s="11" t="inlineStr">
        <is>
          <t>E</t>
        </is>
      </c>
      <c r="E375" s="11" t="n">
        <v>32</v>
      </c>
      <c r="F375" s="11" t="n">
        <v>22</v>
      </c>
      <c r="G375" s="12">
        <f>IF(E375=0,"",F375/E375)</f>
        <v/>
      </c>
      <c r="H375" s="10" t="inlineStr">
        <is>
          <t>OK</t>
        </is>
      </c>
    </row>
    <row r="376">
      <c r="A376" s="7" t="inlineStr">
        <is>
          <t>Simulado 02</t>
        </is>
      </c>
      <c r="B376" s="8" t="n">
        <v>54</v>
      </c>
      <c r="C376" s="8" t="inlineStr">
        <is>
          <t>10ª Fase</t>
        </is>
      </c>
      <c r="D376" s="8" t="inlineStr">
        <is>
          <t>E</t>
        </is>
      </c>
      <c r="E376" s="8" t="n">
        <v>31</v>
      </c>
      <c r="F376" s="8" t="n">
        <v>27</v>
      </c>
      <c r="G376" s="9">
        <f>IF(E376=0,"",F376/E376)</f>
        <v/>
      </c>
      <c r="H376" s="7" t="inlineStr">
        <is>
          <t>OK</t>
        </is>
      </c>
    </row>
    <row r="377">
      <c r="A377" s="10" t="inlineStr">
        <is>
          <t>Simulado 02</t>
        </is>
      </c>
      <c r="B377" s="11" t="n">
        <v>54</v>
      </c>
      <c r="C377" s="11" t="inlineStr">
        <is>
          <t>11ª Fase</t>
        </is>
      </c>
      <c r="D377" s="11" t="inlineStr">
        <is>
          <t>E</t>
        </is>
      </c>
      <c r="E377" s="11" t="n">
        <v>29</v>
      </c>
      <c r="F377" s="11" t="n">
        <v>21</v>
      </c>
      <c r="G377" s="12">
        <f>IF(E377=0,"",F377/E377)</f>
        <v/>
      </c>
      <c r="H377" s="10" t="inlineStr">
        <is>
          <t>OK</t>
        </is>
      </c>
    </row>
    <row r="378">
      <c r="A378" s="7" t="inlineStr">
        <is>
          <t>Simulado 02</t>
        </is>
      </c>
      <c r="B378" s="8" t="n">
        <v>55</v>
      </c>
      <c r="C378" s="8" t="inlineStr">
        <is>
          <t>6ª Fase</t>
        </is>
      </c>
      <c r="D378" s="8" t="inlineStr">
        <is>
          <t>B</t>
        </is>
      </c>
      <c r="E378" s="8" t="n">
        <v>28</v>
      </c>
      <c r="F378" s="8" t="n">
        <v>23</v>
      </c>
      <c r="G378" s="9">
        <f>IF(E378=0,"",F378/E378)</f>
        <v/>
      </c>
      <c r="H378" s="7" t="inlineStr">
        <is>
          <t>OK</t>
        </is>
      </c>
    </row>
    <row r="379">
      <c r="A379" s="10" t="inlineStr">
        <is>
          <t>Simulado 02</t>
        </is>
      </c>
      <c r="B379" s="11" t="n">
        <v>55</v>
      </c>
      <c r="C379" s="11" t="inlineStr">
        <is>
          <t>7ª Fase</t>
        </is>
      </c>
      <c r="D379" s="11" t="inlineStr">
        <is>
          <t>B</t>
        </is>
      </c>
      <c r="E379" s="11" t="n">
        <v>32</v>
      </c>
      <c r="F379" s="11" t="n">
        <v>29</v>
      </c>
      <c r="G379" s="12">
        <f>IF(E379=0,"",F379/E379)</f>
        <v/>
      </c>
      <c r="H379" s="10" t="inlineStr">
        <is>
          <t>OK</t>
        </is>
      </c>
    </row>
    <row r="380">
      <c r="A380" s="7" t="inlineStr">
        <is>
          <t>Simulado 02</t>
        </is>
      </c>
      <c r="B380" s="8" t="n">
        <v>55</v>
      </c>
      <c r="C380" s="8" t="inlineStr">
        <is>
          <t>10ª Fase</t>
        </is>
      </c>
      <c r="D380" s="8" t="inlineStr">
        <is>
          <t>B</t>
        </is>
      </c>
      <c r="E380" s="8" t="n">
        <v>31</v>
      </c>
      <c r="F380" s="8" t="n">
        <v>29</v>
      </c>
      <c r="G380" s="9">
        <f>IF(E380=0,"",F380/E380)</f>
        <v/>
      </c>
      <c r="H380" s="7" t="inlineStr">
        <is>
          <t>OK</t>
        </is>
      </c>
    </row>
    <row r="381">
      <c r="A381" s="10" t="inlineStr">
        <is>
          <t>Simulado 02</t>
        </is>
      </c>
      <c r="B381" s="11" t="n">
        <v>55</v>
      </c>
      <c r="C381" s="11" t="inlineStr">
        <is>
          <t>11ª Fase</t>
        </is>
      </c>
      <c r="D381" s="11" t="inlineStr">
        <is>
          <t>B</t>
        </is>
      </c>
      <c r="E381" s="11" t="n">
        <v>29</v>
      </c>
      <c r="F381" s="11" t="n">
        <v>25</v>
      </c>
      <c r="G381" s="12">
        <f>IF(E381=0,"",F381/E381)</f>
        <v/>
      </c>
      <c r="H381" s="10" t="inlineStr">
        <is>
          <t>OK</t>
        </is>
      </c>
    </row>
    <row r="382">
      <c r="A382" s="7" t="inlineStr">
        <is>
          <t>Simulado 02</t>
        </is>
      </c>
      <c r="B382" s="8" t="n">
        <v>56</v>
      </c>
      <c r="C382" s="8" t="inlineStr">
        <is>
          <t>6ª Fase</t>
        </is>
      </c>
      <c r="D382" s="8" t="inlineStr">
        <is>
          <t>D</t>
        </is>
      </c>
      <c r="E382" s="8" t="n">
        <v>28</v>
      </c>
      <c r="F382" s="8" t="n">
        <v>15</v>
      </c>
      <c r="G382" s="9">
        <f>IF(E382=0,"",F382/E382)</f>
        <v/>
      </c>
      <c r="H382" s="7" t="inlineStr">
        <is>
          <t>OK</t>
        </is>
      </c>
    </row>
    <row r="383">
      <c r="A383" s="10" t="inlineStr">
        <is>
          <t>Simulado 02</t>
        </is>
      </c>
      <c r="B383" s="11" t="n">
        <v>56</v>
      </c>
      <c r="C383" s="11" t="inlineStr">
        <is>
          <t>7ª Fase</t>
        </is>
      </c>
      <c r="D383" s="11" t="inlineStr">
        <is>
          <t>D</t>
        </is>
      </c>
      <c r="E383" s="11" t="n">
        <v>32</v>
      </c>
      <c r="F383" s="11" t="n">
        <v>22</v>
      </c>
      <c r="G383" s="12">
        <f>IF(E383=0,"",F383/E383)</f>
        <v/>
      </c>
      <c r="H383" s="10" t="inlineStr">
        <is>
          <t>OK</t>
        </is>
      </c>
    </row>
    <row r="384">
      <c r="A384" s="7" t="inlineStr">
        <is>
          <t>Simulado 02</t>
        </is>
      </c>
      <c r="B384" s="8" t="n">
        <v>56</v>
      </c>
      <c r="C384" s="8" t="inlineStr">
        <is>
          <t>10ª Fase</t>
        </is>
      </c>
      <c r="D384" s="8" t="inlineStr">
        <is>
          <t>D</t>
        </is>
      </c>
      <c r="E384" s="8" t="n">
        <v>31</v>
      </c>
      <c r="F384" s="8" t="n">
        <v>24</v>
      </c>
      <c r="G384" s="9">
        <f>IF(E384=0,"",F384/E384)</f>
        <v/>
      </c>
      <c r="H384" s="7" t="inlineStr">
        <is>
          <t>OK</t>
        </is>
      </c>
    </row>
    <row r="385">
      <c r="A385" s="10" t="inlineStr">
        <is>
          <t>Simulado 02</t>
        </is>
      </c>
      <c r="B385" s="11" t="n">
        <v>56</v>
      </c>
      <c r="C385" s="11" t="inlineStr">
        <is>
          <t>11ª Fase</t>
        </is>
      </c>
      <c r="D385" s="11" t="inlineStr">
        <is>
          <t>D</t>
        </is>
      </c>
      <c r="E385" s="11" t="n">
        <v>29</v>
      </c>
      <c r="F385" s="11" t="n">
        <v>25</v>
      </c>
      <c r="G385" s="12">
        <f>IF(E385=0,"",F385/E385)</f>
        <v/>
      </c>
      <c r="H385" s="10" t="inlineStr">
        <is>
          <t>OK</t>
        </is>
      </c>
    </row>
    <row r="386">
      <c r="A386" s="7" t="inlineStr">
        <is>
          <t>Simulado 02</t>
        </is>
      </c>
      <c r="B386" s="8" t="n">
        <v>57</v>
      </c>
      <c r="C386" s="8" t="inlineStr">
        <is>
          <t>6ª Fase</t>
        </is>
      </c>
      <c r="D386" s="8" t="inlineStr">
        <is>
          <t>E</t>
        </is>
      </c>
      <c r="E386" s="8" t="n">
        <v>28</v>
      </c>
      <c r="F386" s="8" t="n">
        <v>5</v>
      </c>
      <c r="G386" s="9">
        <f>IF(E386=0,"",F386/E386)</f>
        <v/>
      </c>
      <c r="H386" s="7" t="inlineStr">
        <is>
          <t>OK</t>
        </is>
      </c>
    </row>
    <row r="387">
      <c r="A387" s="10" t="inlineStr">
        <is>
          <t>Simulado 02</t>
        </is>
      </c>
      <c r="B387" s="11" t="n">
        <v>57</v>
      </c>
      <c r="C387" s="11" t="inlineStr">
        <is>
          <t>7ª Fase</t>
        </is>
      </c>
      <c r="D387" s="11" t="inlineStr">
        <is>
          <t>E</t>
        </is>
      </c>
      <c r="E387" s="11" t="n">
        <v>32</v>
      </c>
      <c r="F387" s="11" t="n">
        <v>2</v>
      </c>
      <c r="G387" s="12">
        <f>IF(E387=0,"",F387/E387)</f>
        <v/>
      </c>
      <c r="H387" s="10" t="inlineStr">
        <is>
          <t>OK</t>
        </is>
      </c>
    </row>
    <row r="388">
      <c r="A388" s="7" t="inlineStr">
        <is>
          <t>Simulado 02</t>
        </is>
      </c>
      <c r="B388" s="8" t="n">
        <v>57</v>
      </c>
      <c r="C388" s="8" t="inlineStr">
        <is>
          <t>10ª Fase</t>
        </is>
      </c>
      <c r="D388" s="8" t="inlineStr">
        <is>
          <t>E</t>
        </is>
      </c>
      <c r="E388" s="8" t="n">
        <v>31</v>
      </c>
      <c r="F388" s="8" t="n">
        <v>8</v>
      </c>
      <c r="G388" s="9">
        <f>IF(E388=0,"",F388/E388)</f>
        <v/>
      </c>
      <c r="H388" s="7" t="inlineStr">
        <is>
          <t>OK</t>
        </is>
      </c>
    </row>
    <row r="389">
      <c r="A389" s="10" t="inlineStr">
        <is>
          <t>Simulado 02</t>
        </is>
      </c>
      <c r="B389" s="11" t="n">
        <v>57</v>
      </c>
      <c r="C389" s="11" t="inlineStr">
        <is>
          <t>11ª Fase</t>
        </is>
      </c>
      <c r="D389" s="11" t="inlineStr">
        <is>
          <t>E</t>
        </is>
      </c>
      <c r="E389" s="11" t="n">
        <v>29</v>
      </c>
      <c r="F389" s="11" t="n">
        <v>6</v>
      </c>
      <c r="G389" s="12">
        <f>IF(E389=0,"",F389/E389)</f>
        <v/>
      </c>
      <c r="H389" s="10" t="inlineStr">
        <is>
          <t>OK</t>
        </is>
      </c>
    </row>
    <row r="390">
      <c r="A390" s="7" t="inlineStr">
        <is>
          <t>Simulado 02</t>
        </is>
      </c>
      <c r="B390" s="8" t="n">
        <v>58</v>
      </c>
      <c r="C390" s="8" t="inlineStr">
        <is>
          <t>6ª Fase</t>
        </is>
      </c>
      <c r="D390" s="8" t="inlineStr">
        <is>
          <t>D</t>
        </is>
      </c>
      <c r="E390" s="8" t="n">
        <v>28</v>
      </c>
      <c r="F390" s="8" t="n">
        <v>20</v>
      </c>
      <c r="G390" s="9">
        <f>IF(E390=0,"",F390/E390)</f>
        <v/>
      </c>
      <c r="H390" s="7" t="inlineStr">
        <is>
          <t>OK</t>
        </is>
      </c>
    </row>
    <row r="391">
      <c r="A391" s="10" t="inlineStr">
        <is>
          <t>Simulado 02</t>
        </is>
      </c>
      <c r="B391" s="11" t="n">
        <v>58</v>
      </c>
      <c r="C391" s="11" t="inlineStr">
        <is>
          <t>7ª Fase</t>
        </is>
      </c>
      <c r="D391" s="11" t="inlineStr">
        <is>
          <t>D</t>
        </is>
      </c>
      <c r="E391" s="11" t="n">
        <v>32</v>
      </c>
      <c r="F391" s="11" t="n">
        <v>18</v>
      </c>
      <c r="G391" s="12">
        <f>IF(E391=0,"",F391/E391)</f>
        <v/>
      </c>
      <c r="H391" s="10" t="inlineStr">
        <is>
          <t>OK</t>
        </is>
      </c>
    </row>
    <row r="392">
      <c r="A392" s="7" t="inlineStr">
        <is>
          <t>Simulado 02</t>
        </is>
      </c>
      <c r="B392" s="8" t="n">
        <v>58</v>
      </c>
      <c r="C392" s="8" t="inlineStr">
        <is>
          <t>10ª Fase</t>
        </is>
      </c>
      <c r="D392" s="8" t="inlineStr">
        <is>
          <t>D</t>
        </is>
      </c>
      <c r="E392" s="8" t="n">
        <v>31</v>
      </c>
      <c r="F392" s="8" t="n">
        <v>18</v>
      </c>
      <c r="G392" s="9">
        <f>IF(E392=0,"",F392/E392)</f>
        <v/>
      </c>
      <c r="H392" s="7" t="inlineStr">
        <is>
          <t>OK</t>
        </is>
      </c>
    </row>
    <row r="393">
      <c r="A393" s="10" t="inlineStr">
        <is>
          <t>Simulado 02</t>
        </is>
      </c>
      <c r="B393" s="11" t="n">
        <v>58</v>
      </c>
      <c r="C393" s="11" t="inlineStr">
        <is>
          <t>11ª Fase</t>
        </is>
      </c>
      <c r="D393" s="11" t="inlineStr">
        <is>
          <t>D</t>
        </is>
      </c>
      <c r="E393" s="11" t="n">
        <v>29</v>
      </c>
      <c r="F393" s="11" t="n">
        <v>21</v>
      </c>
      <c r="G393" s="12">
        <f>IF(E393=0,"",F393/E393)</f>
        <v/>
      </c>
      <c r="H393" s="10" t="inlineStr">
        <is>
          <t>OK</t>
        </is>
      </c>
    </row>
    <row r="394">
      <c r="A394" s="7" t="inlineStr">
        <is>
          <t>Simulado 02</t>
        </is>
      </c>
      <c r="B394" s="8" t="n">
        <v>59</v>
      </c>
      <c r="C394" s="8" t="inlineStr">
        <is>
          <t>6ª Fase</t>
        </is>
      </c>
      <c r="D394" s="8" t="inlineStr">
        <is>
          <t>B</t>
        </is>
      </c>
      <c r="E394" s="8" t="n">
        <v>28</v>
      </c>
      <c r="F394" s="8" t="n">
        <v>4</v>
      </c>
      <c r="G394" s="9">
        <f>IF(E394=0,"",F394/E394)</f>
        <v/>
      </c>
      <c r="H394" s="7" t="inlineStr">
        <is>
          <t>OK</t>
        </is>
      </c>
    </row>
    <row r="395">
      <c r="A395" s="10" t="inlineStr">
        <is>
          <t>Simulado 02</t>
        </is>
      </c>
      <c r="B395" s="11" t="n">
        <v>59</v>
      </c>
      <c r="C395" s="11" t="inlineStr">
        <is>
          <t>7ª Fase</t>
        </is>
      </c>
      <c r="D395" s="11" t="inlineStr">
        <is>
          <t>B</t>
        </is>
      </c>
      <c r="E395" s="11" t="n">
        <v>32</v>
      </c>
      <c r="F395" s="11" t="n">
        <v>5</v>
      </c>
      <c r="G395" s="12">
        <f>IF(E395=0,"",F395/E395)</f>
        <v/>
      </c>
      <c r="H395" s="10" t="inlineStr">
        <is>
          <t>OK</t>
        </is>
      </c>
    </row>
    <row r="396">
      <c r="A396" s="7" t="inlineStr">
        <is>
          <t>Simulado 02</t>
        </is>
      </c>
      <c r="B396" s="8" t="n">
        <v>59</v>
      </c>
      <c r="C396" s="8" t="inlineStr">
        <is>
          <t>10ª Fase</t>
        </is>
      </c>
      <c r="D396" s="8" t="inlineStr">
        <is>
          <t>B</t>
        </is>
      </c>
      <c r="E396" s="8" t="n">
        <v>31</v>
      </c>
      <c r="F396" s="8" t="n">
        <v>1</v>
      </c>
      <c r="G396" s="9">
        <f>IF(E396=0,"",F396/E396)</f>
        <v/>
      </c>
      <c r="H396" s="7" t="inlineStr">
        <is>
          <t>OK</t>
        </is>
      </c>
    </row>
    <row r="397">
      <c r="A397" s="10" t="inlineStr">
        <is>
          <t>Simulado 02</t>
        </is>
      </c>
      <c r="B397" s="11" t="n">
        <v>59</v>
      </c>
      <c r="C397" s="11" t="inlineStr">
        <is>
          <t>11ª Fase</t>
        </is>
      </c>
      <c r="D397" s="11" t="inlineStr">
        <is>
          <t>B</t>
        </is>
      </c>
      <c r="E397" s="11" t="n">
        <v>29</v>
      </c>
      <c r="F397" s="11" t="n">
        <v>1</v>
      </c>
      <c r="G397" s="12">
        <f>IF(E397=0,"",F397/E397)</f>
        <v/>
      </c>
      <c r="H397" s="10" t="inlineStr">
        <is>
          <t>OK</t>
        </is>
      </c>
    </row>
    <row r="398">
      <c r="A398" s="7" t="inlineStr">
        <is>
          <t>Simulado 02</t>
        </is>
      </c>
      <c r="B398" s="8" t="n">
        <v>60</v>
      </c>
      <c r="C398" s="8" t="inlineStr">
        <is>
          <t>6ª Fase</t>
        </is>
      </c>
      <c r="D398" s="8" t="inlineStr">
        <is>
          <t>C</t>
        </is>
      </c>
      <c r="E398" s="8" t="n">
        <v>28</v>
      </c>
      <c r="F398" s="8" t="n">
        <v>13</v>
      </c>
      <c r="G398" s="9">
        <f>IF(E398=0,"",F398/E398)</f>
        <v/>
      </c>
      <c r="H398" s="7" t="inlineStr">
        <is>
          <t>OK</t>
        </is>
      </c>
    </row>
    <row r="399">
      <c r="A399" s="10" t="inlineStr">
        <is>
          <t>Simulado 02</t>
        </is>
      </c>
      <c r="B399" s="11" t="n">
        <v>60</v>
      </c>
      <c r="C399" s="11" t="inlineStr">
        <is>
          <t>7ª Fase</t>
        </is>
      </c>
      <c r="D399" s="11" t="inlineStr">
        <is>
          <t>C</t>
        </is>
      </c>
      <c r="E399" s="11" t="n">
        <v>32</v>
      </c>
      <c r="F399" s="11" t="n">
        <v>22</v>
      </c>
      <c r="G399" s="12">
        <f>IF(E399=0,"",F399/E399)</f>
        <v/>
      </c>
      <c r="H399" s="10" t="inlineStr">
        <is>
          <t>OK</t>
        </is>
      </c>
    </row>
    <row r="400">
      <c r="A400" s="7" t="inlineStr">
        <is>
          <t>Simulado 02</t>
        </is>
      </c>
      <c r="B400" s="8" t="n">
        <v>60</v>
      </c>
      <c r="C400" s="8" t="inlineStr">
        <is>
          <t>10ª Fase</t>
        </is>
      </c>
      <c r="D400" s="8" t="inlineStr">
        <is>
          <t>C</t>
        </is>
      </c>
      <c r="E400" s="8" t="n">
        <v>31</v>
      </c>
      <c r="F400" s="8" t="n">
        <v>21</v>
      </c>
      <c r="G400" s="9">
        <f>IF(E400=0,"",F400/E400)</f>
        <v/>
      </c>
      <c r="H400" s="7" t="inlineStr">
        <is>
          <t>OK</t>
        </is>
      </c>
    </row>
    <row r="401">
      <c r="A401" s="10" t="inlineStr">
        <is>
          <t>Simulado 02</t>
        </is>
      </c>
      <c r="B401" s="11" t="n">
        <v>60</v>
      </c>
      <c r="C401" s="11" t="inlineStr">
        <is>
          <t>11ª Fase</t>
        </is>
      </c>
      <c r="D401" s="11" t="inlineStr">
        <is>
          <t>C</t>
        </is>
      </c>
      <c r="E401" s="11" t="n">
        <v>29</v>
      </c>
      <c r="F401" s="11" t="n">
        <v>19</v>
      </c>
      <c r="G401" s="12">
        <f>IF(E401=0,"",F401/E401)</f>
        <v/>
      </c>
      <c r="H401" s="10" t="inlineStr">
        <is>
          <t>OK</t>
        </is>
      </c>
    </row>
  </sheetData>
  <autoFilter ref="A1:H4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6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10" customWidth="1" min="3" max="3"/>
    <col width="11" customWidth="1" min="4" max="4"/>
    <col width="13" customWidth="1" min="5" max="5"/>
    <col width="13" customWidth="1" min="6" max="6"/>
    <col width="14" customWidth="1" min="7" max="7"/>
    <col width="13" customWidth="1" min="8" max="8"/>
  </cols>
  <sheetData>
    <row r="1" ht="30" customHeight="1">
      <c r="A1" s="6" t="inlineStr">
        <is>
          <t>Simulado</t>
        </is>
      </c>
      <c r="B1" s="6" t="inlineStr">
        <is>
          <t>Questão</t>
        </is>
      </c>
      <c r="C1" s="6" t="inlineStr">
        <is>
          <t>Fase</t>
        </is>
      </c>
      <c r="D1" s="6" t="inlineStr">
        <is>
          <t>Alternativa</t>
        </is>
      </c>
      <c r="E1" s="6" t="inlineStr">
        <is>
          <t>É o gabarito?</t>
        </is>
      </c>
      <c r="F1" s="6" t="inlineStr">
        <is>
          <t>Alunos na fase</t>
        </is>
      </c>
      <c r="G1" s="6" t="inlineStr">
        <is>
          <t>Nº de respostas</t>
        </is>
      </c>
      <c r="H1" s="6" t="inlineStr">
        <is>
          <t>% das respostas</t>
        </is>
      </c>
    </row>
    <row r="2">
      <c r="A2" s="7" t="inlineStr">
        <is>
          <t>Simulado 01</t>
        </is>
      </c>
      <c r="B2" s="8" t="n">
        <v>1</v>
      </c>
      <c r="C2" s="8" t="inlineStr">
        <is>
          <t>6ª Fase</t>
        </is>
      </c>
      <c r="D2" s="8" t="inlineStr">
        <is>
          <t>A</t>
        </is>
      </c>
      <c r="E2" s="8" t="inlineStr">
        <is>
          <t>Não</t>
        </is>
      </c>
      <c r="F2" s="8" t="n">
        <v>27</v>
      </c>
      <c r="G2" s="8" t="n">
        <v>0</v>
      </c>
      <c r="H2" s="9">
        <f>IF(F2=0,"",G2/F2)</f>
        <v/>
      </c>
    </row>
    <row r="3">
      <c r="A3" s="10" t="inlineStr">
        <is>
          <t>Simulado 01</t>
        </is>
      </c>
      <c r="B3" s="11" t="n">
        <v>1</v>
      </c>
      <c r="C3" s="11" t="inlineStr">
        <is>
          <t>6ª Fase</t>
        </is>
      </c>
      <c r="D3" s="11" t="inlineStr">
        <is>
          <t>B</t>
        </is>
      </c>
      <c r="E3" s="11" t="inlineStr">
        <is>
          <t>Não</t>
        </is>
      </c>
      <c r="F3" s="11" t="n">
        <v>27</v>
      </c>
      <c r="G3" s="11" t="n">
        <v>0</v>
      </c>
      <c r="H3" s="12">
        <f>IF(F3=0,"",G3/F3)</f>
        <v/>
      </c>
    </row>
    <row r="4">
      <c r="A4" s="7" t="inlineStr">
        <is>
          <t>Simulado 01</t>
        </is>
      </c>
      <c r="B4" s="8" t="n">
        <v>1</v>
      </c>
      <c r="C4" s="8" t="inlineStr">
        <is>
          <t>6ª Fase</t>
        </is>
      </c>
      <c r="D4" s="8" t="inlineStr">
        <is>
          <t>C</t>
        </is>
      </c>
      <c r="E4" s="8" t="inlineStr">
        <is>
          <t>Não</t>
        </is>
      </c>
      <c r="F4" s="8" t="n">
        <v>27</v>
      </c>
      <c r="G4" s="8" t="n">
        <v>1</v>
      </c>
      <c r="H4" s="9">
        <f>IF(F4=0,"",G4/F4)</f>
        <v/>
      </c>
    </row>
    <row r="5">
      <c r="A5" s="10" t="inlineStr">
        <is>
          <t>Simulado 01</t>
        </is>
      </c>
      <c r="B5" s="11" t="n">
        <v>1</v>
      </c>
      <c r="C5" s="11" t="inlineStr">
        <is>
          <t>6ª Fase</t>
        </is>
      </c>
      <c r="D5" s="11" t="inlineStr">
        <is>
          <t>D</t>
        </is>
      </c>
      <c r="E5" s="11" t="inlineStr">
        <is>
          <t>Não</t>
        </is>
      </c>
      <c r="F5" s="11" t="n">
        <v>27</v>
      </c>
      <c r="G5" s="11" t="n">
        <v>2</v>
      </c>
      <c r="H5" s="12">
        <f>IF(F5=0,"",G5/F5)</f>
        <v/>
      </c>
    </row>
    <row r="6">
      <c r="A6" s="7" t="inlineStr">
        <is>
          <t>Simulado 01</t>
        </is>
      </c>
      <c r="B6" s="8" t="n">
        <v>1</v>
      </c>
      <c r="C6" s="8" t="inlineStr">
        <is>
          <t>6ª Fase</t>
        </is>
      </c>
      <c r="D6" s="8" t="inlineStr">
        <is>
          <t>E</t>
        </is>
      </c>
      <c r="E6" s="8" t="inlineStr">
        <is>
          <t>Sim</t>
        </is>
      </c>
      <c r="F6" s="8" t="n">
        <v>27</v>
      </c>
      <c r="G6" s="8" t="n">
        <v>24</v>
      </c>
      <c r="H6" s="9">
        <f>IF(F6=0,"",G6/F6)</f>
        <v/>
      </c>
    </row>
    <row r="7">
      <c r="A7" s="10" t="inlineStr">
        <is>
          <t>Simulado 01</t>
        </is>
      </c>
      <c r="B7" s="11" t="n">
        <v>1</v>
      </c>
      <c r="C7" s="11" t="inlineStr">
        <is>
          <t>7ª Fase</t>
        </is>
      </c>
      <c r="D7" s="11" t="inlineStr">
        <is>
          <t>A</t>
        </is>
      </c>
      <c r="E7" s="11" t="inlineStr">
        <is>
          <t>Não</t>
        </is>
      </c>
      <c r="F7" s="11" t="n">
        <v>33</v>
      </c>
      <c r="G7" s="11" t="n">
        <v>0</v>
      </c>
      <c r="H7" s="12">
        <f>IF(F7=0,"",G7/F7)</f>
        <v/>
      </c>
    </row>
    <row r="8">
      <c r="A8" s="7" t="inlineStr">
        <is>
          <t>Simulado 01</t>
        </is>
      </c>
      <c r="B8" s="8" t="n">
        <v>1</v>
      </c>
      <c r="C8" s="8" t="inlineStr">
        <is>
          <t>7ª Fase</t>
        </is>
      </c>
      <c r="D8" s="8" t="inlineStr">
        <is>
          <t>B</t>
        </is>
      </c>
      <c r="E8" s="8" t="inlineStr">
        <is>
          <t>Não</t>
        </is>
      </c>
      <c r="F8" s="8" t="n">
        <v>33</v>
      </c>
      <c r="G8" s="8" t="n">
        <v>0</v>
      </c>
      <c r="H8" s="9">
        <f>IF(F8=0,"",G8/F8)</f>
        <v/>
      </c>
    </row>
    <row r="9">
      <c r="A9" s="10" t="inlineStr">
        <is>
          <t>Simulado 01</t>
        </is>
      </c>
      <c r="B9" s="11" t="n">
        <v>1</v>
      </c>
      <c r="C9" s="11" t="inlineStr">
        <is>
          <t>7ª Fase</t>
        </is>
      </c>
      <c r="D9" s="11" t="inlineStr">
        <is>
          <t>C</t>
        </is>
      </c>
      <c r="E9" s="11" t="inlineStr">
        <is>
          <t>Não</t>
        </is>
      </c>
      <c r="F9" s="11" t="n">
        <v>33</v>
      </c>
      <c r="G9" s="11" t="n">
        <v>0</v>
      </c>
      <c r="H9" s="12">
        <f>IF(F9=0,"",G9/F9)</f>
        <v/>
      </c>
    </row>
    <row r="10">
      <c r="A10" s="7" t="inlineStr">
        <is>
          <t>Simulado 01</t>
        </is>
      </c>
      <c r="B10" s="8" t="n">
        <v>1</v>
      </c>
      <c r="C10" s="8" t="inlineStr">
        <is>
          <t>7ª Fase</t>
        </is>
      </c>
      <c r="D10" s="8" t="inlineStr">
        <is>
          <t>D</t>
        </is>
      </c>
      <c r="E10" s="8" t="inlineStr">
        <is>
          <t>Não</t>
        </is>
      </c>
      <c r="F10" s="8" t="n">
        <v>33</v>
      </c>
      <c r="G10" s="8" t="n">
        <v>1</v>
      </c>
      <c r="H10" s="9">
        <f>IF(F10=0,"",G10/F10)</f>
        <v/>
      </c>
    </row>
    <row r="11">
      <c r="A11" s="10" t="inlineStr">
        <is>
          <t>Simulado 01</t>
        </is>
      </c>
      <c r="B11" s="11" t="n">
        <v>1</v>
      </c>
      <c r="C11" s="11" t="inlineStr">
        <is>
          <t>7ª Fase</t>
        </is>
      </c>
      <c r="D11" s="11" t="inlineStr">
        <is>
          <t>E</t>
        </is>
      </c>
      <c r="E11" s="11" t="inlineStr">
        <is>
          <t>Sim</t>
        </is>
      </c>
      <c r="F11" s="11" t="n">
        <v>33</v>
      </c>
      <c r="G11" s="11" t="n">
        <v>32</v>
      </c>
      <c r="H11" s="12">
        <f>IF(F11=0,"",G11/F11)</f>
        <v/>
      </c>
    </row>
    <row r="12">
      <c r="A12" s="7" t="inlineStr">
        <is>
          <t>Simulado 01</t>
        </is>
      </c>
      <c r="B12" s="8" t="n">
        <v>1</v>
      </c>
      <c r="C12" s="8" t="inlineStr">
        <is>
          <t>10ª Fase</t>
        </is>
      </c>
      <c r="D12" s="8" t="inlineStr">
        <is>
          <t>A</t>
        </is>
      </c>
      <c r="E12" s="8" t="inlineStr">
        <is>
          <t>Não</t>
        </is>
      </c>
      <c r="F12" s="8" t="n">
        <v>31</v>
      </c>
      <c r="G12" s="8" t="n">
        <v>0</v>
      </c>
      <c r="H12" s="9">
        <f>IF(F12=0,"",G12/F12)</f>
        <v/>
      </c>
    </row>
    <row r="13">
      <c r="A13" s="10" t="inlineStr">
        <is>
          <t>Simulado 01</t>
        </is>
      </c>
      <c r="B13" s="11" t="n">
        <v>1</v>
      </c>
      <c r="C13" s="11" t="inlineStr">
        <is>
          <t>10ª Fase</t>
        </is>
      </c>
      <c r="D13" s="11" t="inlineStr">
        <is>
          <t>B</t>
        </is>
      </c>
      <c r="E13" s="11" t="inlineStr">
        <is>
          <t>Não</t>
        </is>
      </c>
      <c r="F13" s="11" t="n">
        <v>31</v>
      </c>
      <c r="G13" s="11" t="n">
        <v>0</v>
      </c>
      <c r="H13" s="12">
        <f>IF(F13=0,"",G13/F13)</f>
        <v/>
      </c>
    </row>
    <row r="14">
      <c r="A14" s="7" t="inlineStr">
        <is>
          <t>Simulado 01</t>
        </is>
      </c>
      <c r="B14" s="8" t="n">
        <v>1</v>
      </c>
      <c r="C14" s="8" t="inlineStr">
        <is>
          <t>10ª Fase</t>
        </is>
      </c>
      <c r="D14" s="8" t="inlineStr">
        <is>
          <t>C</t>
        </is>
      </c>
      <c r="E14" s="8" t="inlineStr">
        <is>
          <t>Não</t>
        </is>
      </c>
      <c r="F14" s="8" t="n">
        <v>31</v>
      </c>
      <c r="G14" s="8" t="n">
        <v>0</v>
      </c>
      <c r="H14" s="9">
        <f>IF(F14=0,"",G14/F14)</f>
        <v/>
      </c>
    </row>
    <row r="15">
      <c r="A15" s="10" t="inlineStr">
        <is>
          <t>Simulado 01</t>
        </is>
      </c>
      <c r="B15" s="11" t="n">
        <v>1</v>
      </c>
      <c r="C15" s="11" t="inlineStr">
        <is>
          <t>10ª Fase</t>
        </is>
      </c>
      <c r="D15" s="11" t="inlineStr">
        <is>
          <t>D</t>
        </is>
      </c>
      <c r="E15" s="11" t="inlineStr">
        <is>
          <t>Não</t>
        </is>
      </c>
      <c r="F15" s="11" t="n">
        <v>31</v>
      </c>
      <c r="G15" s="11" t="n">
        <v>0</v>
      </c>
      <c r="H15" s="12">
        <f>IF(F15=0,"",G15/F15)</f>
        <v/>
      </c>
    </row>
    <row r="16">
      <c r="A16" s="7" t="inlineStr">
        <is>
          <t>Simulado 01</t>
        </is>
      </c>
      <c r="B16" s="8" t="n">
        <v>1</v>
      </c>
      <c r="C16" s="8" t="inlineStr">
        <is>
          <t>10ª Fase</t>
        </is>
      </c>
      <c r="D16" s="8" t="inlineStr">
        <is>
          <t>E</t>
        </is>
      </c>
      <c r="E16" s="8" t="inlineStr">
        <is>
          <t>Sim</t>
        </is>
      </c>
      <c r="F16" s="8" t="n">
        <v>31</v>
      </c>
      <c r="G16" s="8" t="n">
        <v>31</v>
      </c>
      <c r="H16" s="9">
        <f>IF(F16=0,"",G16/F16)</f>
        <v/>
      </c>
    </row>
    <row r="17">
      <c r="A17" s="10" t="inlineStr">
        <is>
          <t>Simulado 01</t>
        </is>
      </c>
      <c r="B17" s="11" t="n">
        <v>1</v>
      </c>
      <c r="C17" s="11" t="inlineStr">
        <is>
          <t>11ª Fase</t>
        </is>
      </c>
      <c r="D17" s="11" t="inlineStr">
        <is>
          <t>A</t>
        </is>
      </c>
      <c r="E17" s="11" t="inlineStr">
        <is>
          <t>Não</t>
        </is>
      </c>
      <c r="F17" s="11" t="n">
        <v>27</v>
      </c>
      <c r="G17" s="11" t="n">
        <v>0</v>
      </c>
      <c r="H17" s="12">
        <f>IF(F17=0,"",G17/F17)</f>
        <v/>
      </c>
    </row>
    <row r="18">
      <c r="A18" s="7" t="inlineStr">
        <is>
          <t>Simulado 01</t>
        </is>
      </c>
      <c r="B18" s="8" t="n">
        <v>1</v>
      </c>
      <c r="C18" s="8" t="inlineStr">
        <is>
          <t>11ª Fase</t>
        </is>
      </c>
      <c r="D18" s="8" t="inlineStr">
        <is>
          <t>B</t>
        </is>
      </c>
      <c r="E18" s="8" t="inlineStr">
        <is>
          <t>Não</t>
        </is>
      </c>
      <c r="F18" s="8" t="n">
        <v>27</v>
      </c>
      <c r="G18" s="8" t="n">
        <v>0</v>
      </c>
      <c r="H18" s="9">
        <f>IF(F18=0,"",G18/F18)</f>
        <v/>
      </c>
    </row>
    <row r="19">
      <c r="A19" s="10" t="inlineStr">
        <is>
          <t>Simulado 01</t>
        </is>
      </c>
      <c r="B19" s="11" t="n">
        <v>1</v>
      </c>
      <c r="C19" s="11" t="inlineStr">
        <is>
          <t>11ª Fase</t>
        </is>
      </c>
      <c r="D19" s="11" t="inlineStr">
        <is>
          <t>C</t>
        </is>
      </c>
      <c r="E19" s="11" t="inlineStr">
        <is>
          <t>Não</t>
        </is>
      </c>
      <c r="F19" s="11" t="n">
        <v>27</v>
      </c>
      <c r="G19" s="11" t="n">
        <v>0</v>
      </c>
      <c r="H19" s="12">
        <f>IF(F19=0,"",G19/F19)</f>
        <v/>
      </c>
    </row>
    <row r="20">
      <c r="A20" s="7" t="inlineStr">
        <is>
          <t>Simulado 01</t>
        </is>
      </c>
      <c r="B20" s="8" t="n">
        <v>1</v>
      </c>
      <c r="C20" s="8" t="inlineStr">
        <is>
          <t>11ª Fase</t>
        </is>
      </c>
      <c r="D20" s="8" t="inlineStr">
        <is>
          <t>D</t>
        </is>
      </c>
      <c r="E20" s="8" t="inlineStr">
        <is>
          <t>Não</t>
        </is>
      </c>
      <c r="F20" s="8" t="n">
        <v>27</v>
      </c>
      <c r="G20" s="8" t="n">
        <v>0</v>
      </c>
      <c r="H20" s="9">
        <f>IF(F20=0,"",G20/F20)</f>
        <v/>
      </c>
    </row>
    <row r="21">
      <c r="A21" s="10" t="inlineStr">
        <is>
          <t>Simulado 01</t>
        </is>
      </c>
      <c r="B21" s="11" t="n">
        <v>1</v>
      </c>
      <c r="C21" s="11" t="inlineStr">
        <is>
          <t>11ª Fase</t>
        </is>
      </c>
      <c r="D21" s="11" t="inlineStr">
        <is>
          <t>E</t>
        </is>
      </c>
      <c r="E21" s="11" t="inlineStr">
        <is>
          <t>Sim</t>
        </is>
      </c>
      <c r="F21" s="11" t="n">
        <v>27</v>
      </c>
      <c r="G21" s="11" t="n">
        <v>27</v>
      </c>
      <c r="H21" s="12">
        <f>IF(F21=0,"",G21/F21)</f>
        <v/>
      </c>
    </row>
    <row r="22">
      <c r="A22" s="7" t="inlineStr">
        <is>
          <t>Simulado 01</t>
        </is>
      </c>
      <c r="B22" s="8" t="n">
        <v>2</v>
      </c>
      <c r="C22" s="8" t="inlineStr">
        <is>
          <t>6ª Fase</t>
        </is>
      </c>
      <c r="D22" s="8" t="inlineStr">
        <is>
          <t>A</t>
        </is>
      </c>
      <c r="E22" s="8" t="inlineStr">
        <is>
          <t>Não</t>
        </is>
      </c>
      <c r="F22" s="8" t="n">
        <v>27</v>
      </c>
      <c r="G22" s="8" t="n">
        <v>0</v>
      </c>
      <c r="H22" s="9">
        <f>IF(F22=0,"",G22/F22)</f>
        <v/>
      </c>
    </row>
    <row r="23">
      <c r="A23" s="10" t="inlineStr">
        <is>
          <t>Simulado 01</t>
        </is>
      </c>
      <c r="B23" s="11" t="n">
        <v>2</v>
      </c>
      <c r="C23" s="11" t="inlineStr">
        <is>
          <t>6ª Fase</t>
        </is>
      </c>
      <c r="D23" s="11" t="inlineStr">
        <is>
          <t>B</t>
        </is>
      </c>
      <c r="E23" s="11" t="inlineStr">
        <is>
          <t>Não</t>
        </is>
      </c>
      <c r="F23" s="11" t="n">
        <v>27</v>
      </c>
      <c r="G23" s="11" t="n">
        <v>0</v>
      </c>
      <c r="H23" s="12">
        <f>IF(F23=0,"",G23/F23)</f>
        <v/>
      </c>
    </row>
    <row r="24">
      <c r="A24" s="7" t="inlineStr">
        <is>
          <t>Simulado 01</t>
        </is>
      </c>
      <c r="B24" s="8" t="n">
        <v>2</v>
      </c>
      <c r="C24" s="8" t="inlineStr">
        <is>
          <t>6ª Fase</t>
        </is>
      </c>
      <c r="D24" s="8" t="inlineStr">
        <is>
          <t>C</t>
        </is>
      </c>
      <c r="E24" s="8" t="inlineStr">
        <is>
          <t>Não</t>
        </is>
      </c>
      <c r="F24" s="8" t="n">
        <v>27</v>
      </c>
      <c r="G24" s="8" t="n">
        <v>4</v>
      </c>
      <c r="H24" s="9">
        <f>IF(F24=0,"",G24/F24)</f>
        <v/>
      </c>
    </row>
    <row r="25">
      <c r="A25" s="10" t="inlineStr">
        <is>
          <t>Simulado 01</t>
        </is>
      </c>
      <c r="B25" s="11" t="n">
        <v>2</v>
      </c>
      <c r="C25" s="11" t="inlineStr">
        <is>
          <t>6ª Fase</t>
        </is>
      </c>
      <c r="D25" s="11" t="inlineStr">
        <is>
          <t>D</t>
        </is>
      </c>
      <c r="E25" s="11" t="inlineStr">
        <is>
          <t>Não</t>
        </is>
      </c>
      <c r="F25" s="11" t="n">
        <v>27</v>
      </c>
      <c r="G25" s="11" t="n">
        <v>0</v>
      </c>
      <c r="H25" s="12">
        <f>IF(F25=0,"",G25/F25)</f>
        <v/>
      </c>
    </row>
    <row r="26">
      <c r="A26" s="7" t="inlineStr">
        <is>
          <t>Simulado 01</t>
        </is>
      </c>
      <c r="B26" s="8" t="n">
        <v>2</v>
      </c>
      <c r="C26" s="8" t="inlineStr">
        <is>
          <t>6ª Fase</t>
        </is>
      </c>
      <c r="D26" s="8" t="inlineStr">
        <is>
          <t>E</t>
        </is>
      </c>
      <c r="E26" s="8" t="inlineStr">
        <is>
          <t>Sim</t>
        </is>
      </c>
      <c r="F26" s="8" t="n">
        <v>27</v>
      </c>
      <c r="G26" s="8" t="n">
        <v>23</v>
      </c>
      <c r="H26" s="9">
        <f>IF(F26=0,"",G26/F26)</f>
        <v/>
      </c>
    </row>
    <row r="27">
      <c r="A27" s="10" t="inlineStr">
        <is>
          <t>Simulado 01</t>
        </is>
      </c>
      <c r="B27" s="11" t="n">
        <v>2</v>
      </c>
      <c r="C27" s="11" t="inlineStr">
        <is>
          <t>7ª Fase</t>
        </is>
      </c>
      <c r="D27" s="11" t="inlineStr">
        <is>
          <t>A</t>
        </is>
      </c>
      <c r="E27" s="11" t="inlineStr">
        <is>
          <t>Não</t>
        </is>
      </c>
      <c r="F27" s="11" t="n">
        <v>33</v>
      </c>
      <c r="G27" s="11" t="n">
        <v>0</v>
      </c>
      <c r="H27" s="12">
        <f>IF(F27=0,"",G27/F27)</f>
        <v/>
      </c>
    </row>
    <row r="28">
      <c r="A28" s="7" t="inlineStr">
        <is>
          <t>Simulado 01</t>
        </is>
      </c>
      <c r="B28" s="8" t="n">
        <v>2</v>
      </c>
      <c r="C28" s="8" t="inlineStr">
        <is>
          <t>7ª Fase</t>
        </is>
      </c>
      <c r="D28" s="8" t="inlineStr">
        <is>
          <t>B</t>
        </is>
      </c>
      <c r="E28" s="8" t="inlineStr">
        <is>
          <t>Não</t>
        </is>
      </c>
      <c r="F28" s="8" t="n">
        <v>33</v>
      </c>
      <c r="G28" s="8" t="n">
        <v>0</v>
      </c>
      <c r="H28" s="9">
        <f>IF(F28=0,"",G28/F28)</f>
        <v/>
      </c>
    </row>
    <row r="29">
      <c r="A29" s="10" t="inlineStr">
        <is>
          <t>Simulado 01</t>
        </is>
      </c>
      <c r="B29" s="11" t="n">
        <v>2</v>
      </c>
      <c r="C29" s="11" t="inlineStr">
        <is>
          <t>7ª Fase</t>
        </is>
      </c>
      <c r="D29" s="11" t="inlineStr">
        <is>
          <t>C</t>
        </is>
      </c>
      <c r="E29" s="11" t="inlineStr">
        <is>
          <t>Não</t>
        </is>
      </c>
      <c r="F29" s="11" t="n">
        <v>33</v>
      </c>
      <c r="G29" s="11" t="n">
        <v>0</v>
      </c>
      <c r="H29" s="12">
        <f>IF(F29=0,"",G29/F29)</f>
        <v/>
      </c>
    </row>
    <row r="30">
      <c r="A30" s="7" t="inlineStr">
        <is>
          <t>Simulado 01</t>
        </is>
      </c>
      <c r="B30" s="8" t="n">
        <v>2</v>
      </c>
      <c r="C30" s="8" t="inlineStr">
        <is>
          <t>7ª Fase</t>
        </is>
      </c>
      <c r="D30" s="8" t="inlineStr">
        <is>
          <t>D</t>
        </is>
      </c>
      <c r="E30" s="8" t="inlineStr">
        <is>
          <t>Não</t>
        </is>
      </c>
      <c r="F30" s="8" t="n">
        <v>33</v>
      </c>
      <c r="G30" s="8" t="n">
        <v>0</v>
      </c>
      <c r="H30" s="9">
        <f>IF(F30=0,"",G30/F30)</f>
        <v/>
      </c>
    </row>
    <row r="31">
      <c r="A31" s="10" t="inlineStr">
        <is>
          <t>Simulado 01</t>
        </is>
      </c>
      <c r="B31" s="11" t="n">
        <v>2</v>
      </c>
      <c r="C31" s="11" t="inlineStr">
        <is>
          <t>7ª Fase</t>
        </is>
      </c>
      <c r="D31" s="11" t="inlineStr">
        <is>
          <t>E</t>
        </is>
      </c>
      <c r="E31" s="11" t="inlineStr">
        <is>
          <t>Sim</t>
        </is>
      </c>
      <c r="F31" s="11" t="n">
        <v>33</v>
      </c>
      <c r="G31" s="11" t="n">
        <v>33</v>
      </c>
      <c r="H31" s="12">
        <f>IF(F31=0,"",G31/F31)</f>
        <v/>
      </c>
    </row>
    <row r="32">
      <c r="A32" s="7" t="inlineStr">
        <is>
          <t>Simulado 01</t>
        </is>
      </c>
      <c r="B32" s="8" t="n">
        <v>2</v>
      </c>
      <c r="C32" s="8" t="inlineStr">
        <is>
          <t>10ª Fase</t>
        </is>
      </c>
      <c r="D32" s="8" t="inlineStr">
        <is>
          <t>A</t>
        </is>
      </c>
      <c r="E32" s="8" t="inlineStr">
        <is>
          <t>Não</t>
        </is>
      </c>
      <c r="F32" s="8" t="n">
        <v>31</v>
      </c>
      <c r="G32" s="8" t="n">
        <v>0</v>
      </c>
      <c r="H32" s="9">
        <f>IF(F32=0,"",G32/F32)</f>
        <v/>
      </c>
    </row>
    <row r="33">
      <c r="A33" s="10" t="inlineStr">
        <is>
          <t>Simulado 01</t>
        </is>
      </c>
      <c r="B33" s="11" t="n">
        <v>2</v>
      </c>
      <c r="C33" s="11" t="inlineStr">
        <is>
          <t>10ª Fase</t>
        </is>
      </c>
      <c r="D33" s="11" t="inlineStr">
        <is>
          <t>B</t>
        </is>
      </c>
      <c r="E33" s="11" t="inlineStr">
        <is>
          <t>Não</t>
        </is>
      </c>
      <c r="F33" s="11" t="n">
        <v>31</v>
      </c>
      <c r="G33" s="11" t="n">
        <v>0</v>
      </c>
      <c r="H33" s="12">
        <f>IF(F33=0,"",G33/F33)</f>
        <v/>
      </c>
    </row>
    <row r="34">
      <c r="A34" s="7" t="inlineStr">
        <is>
          <t>Simulado 01</t>
        </is>
      </c>
      <c r="B34" s="8" t="n">
        <v>2</v>
      </c>
      <c r="C34" s="8" t="inlineStr">
        <is>
          <t>10ª Fase</t>
        </is>
      </c>
      <c r="D34" s="8" t="inlineStr">
        <is>
          <t>C</t>
        </is>
      </c>
      <c r="E34" s="8" t="inlineStr">
        <is>
          <t>Não</t>
        </is>
      </c>
      <c r="F34" s="8" t="n">
        <v>31</v>
      </c>
      <c r="G34" s="8" t="n">
        <v>3</v>
      </c>
      <c r="H34" s="9">
        <f>IF(F34=0,"",G34/F34)</f>
        <v/>
      </c>
    </row>
    <row r="35">
      <c r="A35" s="10" t="inlineStr">
        <is>
          <t>Simulado 01</t>
        </is>
      </c>
      <c r="B35" s="11" t="n">
        <v>2</v>
      </c>
      <c r="C35" s="11" t="inlineStr">
        <is>
          <t>10ª Fase</t>
        </is>
      </c>
      <c r="D35" s="11" t="inlineStr">
        <is>
          <t>D</t>
        </is>
      </c>
      <c r="E35" s="11" t="inlineStr">
        <is>
          <t>Não</t>
        </is>
      </c>
      <c r="F35" s="11" t="n">
        <v>31</v>
      </c>
      <c r="G35" s="11" t="n">
        <v>2</v>
      </c>
      <c r="H35" s="12">
        <f>IF(F35=0,"",G35/F35)</f>
        <v/>
      </c>
    </row>
    <row r="36">
      <c r="A36" s="7" t="inlineStr">
        <is>
          <t>Simulado 01</t>
        </is>
      </c>
      <c r="B36" s="8" t="n">
        <v>2</v>
      </c>
      <c r="C36" s="8" t="inlineStr">
        <is>
          <t>10ª Fase</t>
        </is>
      </c>
      <c r="D36" s="8" t="inlineStr">
        <is>
          <t>E</t>
        </is>
      </c>
      <c r="E36" s="8" t="inlineStr">
        <is>
          <t>Sim</t>
        </is>
      </c>
      <c r="F36" s="8" t="n">
        <v>31</v>
      </c>
      <c r="G36" s="8" t="n">
        <v>26</v>
      </c>
      <c r="H36" s="9">
        <f>IF(F36=0,"",G36/F36)</f>
        <v/>
      </c>
    </row>
    <row r="37">
      <c r="A37" s="10" t="inlineStr">
        <is>
          <t>Simulado 01</t>
        </is>
      </c>
      <c r="B37" s="11" t="n">
        <v>2</v>
      </c>
      <c r="C37" s="11" t="inlineStr">
        <is>
          <t>11ª Fase</t>
        </is>
      </c>
      <c r="D37" s="11" t="inlineStr">
        <is>
          <t>A</t>
        </is>
      </c>
      <c r="E37" s="11" t="inlineStr">
        <is>
          <t>Não</t>
        </is>
      </c>
      <c r="F37" s="11" t="n">
        <v>27</v>
      </c>
      <c r="G37" s="11" t="n">
        <v>0</v>
      </c>
      <c r="H37" s="12">
        <f>IF(F37=0,"",G37/F37)</f>
        <v/>
      </c>
    </row>
    <row r="38">
      <c r="A38" s="7" t="inlineStr">
        <is>
          <t>Simulado 01</t>
        </is>
      </c>
      <c r="B38" s="8" t="n">
        <v>2</v>
      </c>
      <c r="C38" s="8" t="inlineStr">
        <is>
          <t>11ª Fase</t>
        </is>
      </c>
      <c r="D38" s="8" t="inlineStr">
        <is>
          <t>B</t>
        </is>
      </c>
      <c r="E38" s="8" t="inlineStr">
        <is>
          <t>Não</t>
        </is>
      </c>
      <c r="F38" s="8" t="n">
        <v>27</v>
      </c>
      <c r="G38" s="8" t="n">
        <v>0</v>
      </c>
      <c r="H38" s="9">
        <f>IF(F38=0,"",G38/F38)</f>
        <v/>
      </c>
    </row>
    <row r="39">
      <c r="A39" s="10" t="inlineStr">
        <is>
          <t>Simulado 01</t>
        </is>
      </c>
      <c r="B39" s="11" t="n">
        <v>2</v>
      </c>
      <c r="C39" s="11" t="inlineStr">
        <is>
          <t>11ª Fase</t>
        </is>
      </c>
      <c r="D39" s="11" t="inlineStr">
        <is>
          <t>C</t>
        </is>
      </c>
      <c r="E39" s="11" t="inlineStr">
        <is>
          <t>Não</t>
        </is>
      </c>
      <c r="F39" s="11" t="n">
        <v>27</v>
      </c>
      <c r="G39" s="11" t="n">
        <v>1</v>
      </c>
      <c r="H39" s="12">
        <f>IF(F39=0,"",G39/F39)</f>
        <v/>
      </c>
    </row>
    <row r="40">
      <c r="A40" s="7" t="inlineStr">
        <is>
          <t>Simulado 01</t>
        </is>
      </c>
      <c r="B40" s="8" t="n">
        <v>2</v>
      </c>
      <c r="C40" s="8" t="inlineStr">
        <is>
          <t>11ª Fase</t>
        </is>
      </c>
      <c r="D40" s="8" t="inlineStr">
        <is>
          <t>D</t>
        </is>
      </c>
      <c r="E40" s="8" t="inlineStr">
        <is>
          <t>Não</t>
        </is>
      </c>
      <c r="F40" s="8" t="n">
        <v>27</v>
      </c>
      <c r="G40" s="8" t="n">
        <v>0</v>
      </c>
      <c r="H40" s="9">
        <f>IF(F40=0,"",G40/F40)</f>
        <v/>
      </c>
    </row>
    <row r="41">
      <c r="A41" s="10" t="inlineStr">
        <is>
          <t>Simulado 01</t>
        </is>
      </c>
      <c r="B41" s="11" t="n">
        <v>2</v>
      </c>
      <c r="C41" s="11" t="inlineStr">
        <is>
          <t>11ª Fase</t>
        </is>
      </c>
      <c r="D41" s="11" t="inlineStr">
        <is>
          <t>E</t>
        </is>
      </c>
      <c r="E41" s="11" t="inlineStr">
        <is>
          <t>Sim</t>
        </is>
      </c>
      <c r="F41" s="11" t="n">
        <v>27</v>
      </c>
      <c r="G41" s="11" t="n">
        <v>26</v>
      </c>
      <c r="H41" s="12">
        <f>IF(F41=0,"",G41/F41)</f>
        <v/>
      </c>
    </row>
    <row r="42">
      <c r="A42" s="7" t="inlineStr">
        <is>
          <t>Simulado 01</t>
        </is>
      </c>
      <c r="B42" s="8" t="n">
        <v>3</v>
      </c>
      <c r="C42" s="8" t="inlineStr">
        <is>
          <t>6ª Fase</t>
        </is>
      </c>
      <c r="D42" s="8" t="inlineStr">
        <is>
          <t>A</t>
        </is>
      </c>
      <c r="E42" s="8" t="inlineStr">
        <is>
          <t>Não</t>
        </is>
      </c>
      <c r="F42" s="8" t="n">
        <v>27</v>
      </c>
      <c r="G42" s="8" t="n">
        <v>2</v>
      </c>
      <c r="H42" s="9">
        <f>IF(F42=0,"",G42/F42)</f>
        <v/>
      </c>
    </row>
    <row r="43">
      <c r="A43" s="10" t="inlineStr">
        <is>
          <t>Simulado 01</t>
        </is>
      </c>
      <c r="B43" s="11" t="n">
        <v>3</v>
      </c>
      <c r="C43" s="11" t="inlineStr">
        <is>
          <t>6ª Fase</t>
        </is>
      </c>
      <c r="D43" s="11" t="inlineStr">
        <is>
          <t>B</t>
        </is>
      </c>
      <c r="E43" s="11" t="inlineStr">
        <is>
          <t>Não</t>
        </is>
      </c>
      <c r="F43" s="11" t="n">
        <v>27</v>
      </c>
      <c r="G43" s="11" t="n">
        <v>0</v>
      </c>
      <c r="H43" s="12">
        <f>IF(F43=0,"",G43/F43)</f>
        <v/>
      </c>
    </row>
    <row r="44">
      <c r="A44" s="7" t="inlineStr">
        <is>
          <t>Simulado 01</t>
        </is>
      </c>
      <c r="B44" s="8" t="n">
        <v>3</v>
      </c>
      <c r="C44" s="8" t="inlineStr">
        <is>
          <t>6ª Fase</t>
        </is>
      </c>
      <c r="D44" s="8" t="inlineStr">
        <is>
          <t>C</t>
        </is>
      </c>
      <c r="E44" s="8" t="inlineStr">
        <is>
          <t>Não</t>
        </is>
      </c>
      <c r="F44" s="8" t="n">
        <v>27</v>
      </c>
      <c r="G44" s="8" t="n">
        <v>8</v>
      </c>
      <c r="H44" s="9">
        <f>IF(F44=0,"",G44/F44)</f>
        <v/>
      </c>
    </row>
    <row r="45">
      <c r="A45" s="10" t="inlineStr">
        <is>
          <t>Simulado 01</t>
        </is>
      </c>
      <c r="B45" s="11" t="n">
        <v>3</v>
      </c>
      <c r="C45" s="11" t="inlineStr">
        <is>
          <t>6ª Fase</t>
        </is>
      </c>
      <c r="D45" s="11" t="inlineStr">
        <is>
          <t>D</t>
        </is>
      </c>
      <c r="E45" s="11" t="inlineStr">
        <is>
          <t>Não</t>
        </is>
      </c>
      <c r="F45" s="11" t="n">
        <v>27</v>
      </c>
      <c r="G45" s="11" t="n">
        <v>4</v>
      </c>
      <c r="H45" s="12">
        <f>IF(F45=0,"",G45/F45)</f>
        <v/>
      </c>
    </row>
    <row r="46">
      <c r="A46" s="7" t="inlineStr">
        <is>
          <t>Simulado 01</t>
        </is>
      </c>
      <c r="B46" s="8" t="n">
        <v>3</v>
      </c>
      <c r="C46" s="8" t="inlineStr">
        <is>
          <t>6ª Fase</t>
        </is>
      </c>
      <c r="D46" s="8" t="inlineStr">
        <is>
          <t>E</t>
        </is>
      </c>
      <c r="E46" s="8" t="inlineStr">
        <is>
          <t>Sim</t>
        </is>
      </c>
      <c r="F46" s="8" t="n">
        <v>27</v>
      </c>
      <c r="G46" s="8" t="n">
        <v>13</v>
      </c>
      <c r="H46" s="9">
        <f>IF(F46=0,"",G46/F46)</f>
        <v/>
      </c>
    </row>
    <row r="47">
      <c r="A47" s="10" t="inlineStr">
        <is>
          <t>Simulado 01</t>
        </is>
      </c>
      <c r="B47" s="11" t="n">
        <v>3</v>
      </c>
      <c r="C47" s="11" t="inlineStr">
        <is>
          <t>7ª Fase</t>
        </is>
      </c>
      <c r="D47" s="11" t="inlineStr">
        <is>
          <t>A</t>
        </is>
      </c>
      <c r="E47" s="11" t="inlineStr">
        <is>
          <t>Não</t>
        </is>
      </c>
      <c r="F47" s="11" t="n">
        <v>33</v>
      </c>
      <c r="G47" s="11" t="n">
        <v>2</v>
      </c>
      <c r="H47" s="12">
        <f>IF(F47=0,"",G47/F47)</f>
        <v/>
      </c>
    </row>
    <row r="48">
      <c r="A48" s="7" t="inlineStr">
        <is>
          <t>Simulado 01</t>
        </is>
      </c>
      <c r="B48" s="8" t="n">
        <v>3</v>
      </c>
      <c r="C48" s="8" t="inlineStr">
        <is>
          <t>7ª Fase</t>
        </is>
      </c>
      <c r="D48" s="8" t="inlineStr">
        <is>
          <t>B</t>
        </is>
      </c>
      <c r="E48" s="8" t="inlineStr">
        <is>
          <t>Não</t>
        </is>
      </c>
      <c r="F48" s="8" t="n">
        <v>33</v>
      </c>
      <c r="G48" s="8" t="n">
        <v>0</v>
      </c>
      <c r="H48" s="9">
        <f>IF(F48=0,"",G48/F48)</f>
        <v/>
      </c>
    </row>
    <row r="49">
      <c r="A49" s="10" t="inlineStr">
        <is>
          <t>Simulado 01</t>
        </is>
      </c>
      <c r="B49" s="11" t="n">
        <v>3</v>
      </c>
      <c r="C49" s="11" t="inlineStr">
        <is>
          <t>7ª Fase</t>
        </is>
      </c>
      <c r="D49" s="11" t="inlineStr">
        <is>
          <t>C</t>
        </is>
      </c>
      <c r="E49" s="11" t="inlineStr">
        <is>
          <t>Não</t>
        </is>
      </c>
      <c r="F49" s="11" t="n">
        <v>33</v>
      </c>
      <c r="G49" s="11" t="n">
        <v>5</v>
      </c>
      <c r="H49" s="12">
        <f>IF(F49=0,"",G49/F49)</f>
        <v/>
      </c>
    </row>
    <row r="50">
      <c r="A50" s="7" t="inlineStr">
        <is>
          <t>Simulado 01</t>
        </is>
      </c>
      <c r="B50" s="8" t="n">
        <v>3</v>
      </c>
      <c r="C50" s="8" t="inlineStr">
        <is>
          <t>7ª Fase</t>
        </is>
      </c>
      <c r="D50" s="8" t="inlineStr">
        <is>
          <t>D</t>
        </is>
      </c>
      <c r="E50" s="8" t="inlineStr">
        <is>
          <t>Não</t>
        </is>
      </c>
      <c r="F50" s="8" t="n">
        <v>33</v>
      </c>
      <c r="G50" s="8" t="n">
        <v>1</v>
      </c>
      <c r="H50" s="9">
        <f>IF(F50=0,"",G50/F50)</f>
        <v/>
      </c>
    </row>
    <row r="51">
      <c r="A51" s="10" t="inlineStr">
        <is>
          <t>Simulado 01</t>
        </is>
      </c>
      <c r="B51" s="11" t="n">
        <v>3</v>
      </c>
      <c r="C51" s="11" t="inlineStr">
        <is>
          <t>7ª Fase</t>
        </is>
      </c>
      <c r="D51" s="11" t="inlineStr">
        <is>
          <t>E</t>
        </is>
      </c>
      <c r="E51" s="11" t="inlineStr">
        <is>
          <t>Sim</t>
        </is>
      </c>
      <c r="F51" s="11" t="n">
        <v>33</v>
      </c>
      <c r="G51" s="11" t="n">
        <v>25</v>
      </c>
      <c r="H51" s="12">
        <f>IF(F51=0,"",G51/F51)</f>
        <v/>
      </c>
    </row>
    <row r="52">
      <c r="A52" s="7" t="inlineStr">
        <is>
          <t>Simulado 01</t>
        </is>
      </c>
      <c r="B52" s="8" t="n">
        <v>3</v>
      </c>
      <c r="C52" s="8" t="inlineStr">
        <is>
          <t>10ª Fase</t>
        </is>
      </c>
      <c r="D52" s="8" t="inlineStr">
        <is>
          <t>A</t>
        </is>
      </c>
      <c r="E52" s="8" t="inlineStr">
        <is>
          <t>Não</t>
        </is>
      </c>
      <c r="F52" s="8" t="n">
        <v>31</v>
      </c>
      <c r="G52" s="8" t="n">
        <v>2</v>
      </c>
      <c r="H52" s="9">
        <f>IF(F52=0,"",G52/F52)</f>
        <v/>
      </c>
    </row>
    <row r="53">
      <c r="A53" s="10" t="inlineStr">
        <is>
          <t>Simulado 01</t>
        </is>
      </c>
      <c r="B53" s="11" t="n">
        <v>3</v>
      </c>
      <c r="C53" s="11" t="inlineStr">
        <is>
          <t>10ª Fase</t>
        </is>
      </c>
      <c r="D53" s="11" t="inlineStr">
        <is>
          <t>B</t>
        </is>
      </c>
      <c r="E53" s="11" t="inlineStr">
        <is>
          <t>Não</t>
        </is>
      </c>
      <c r="F53" s="11" t="n">
        <v>31</v>
      </c>
      <c r="G53" s="11" t="n">
        <v>0</v>
      </c>
      <c r="H53" s="12">
        <f>IF(F53=0,"",G53/F53)</f>
        <v/>
      </c>
    </row>
    <row r="54">
      <c r="A54" s="7" t="inlineStr">
        <is>
          <t>Simulado 01</t>
        </is>
      </c>
      <c r="B54" s="8" t="n">
        <v>3</v>
      </c>
      <c r="C54" s="8" t="inlineStr">
        <is>
          <t>10ª Fase</t>
        </is>
      </c>
      <c r="D54" s="8" t="inlineStr">
        <is>
          <t>C</t>
        </is>
      </c>
      <c r="E54" s="8" t="inlineStr">
        <is>
          <t>Não</t>
        </is>
      </c>
      <c r="F54" s="8" t="n">
        <v>31</v>
      </c>
      <c r="G54" s="8" t="n">
        <v>8</v>
      </c>
      <c r="H54" s="9">
        <f>IF(F54=0,"",G54/F54)</f>
        <v/>
      </c>
    </row>
    <row r="55">
      <c r="A55" s="10" t="inlineStr">
        <is>
          <t>Simulado 01</t>
        </is>
      </c>
      <c r="B55" s="11" t="n">
        <v>3</v>
      </c>
      <c r="C55" s="11" t="inlineStr">
        <is>
          <t>10ª Fase</t>
        </is>
      </c>
      <c r="D55" s="11" t="inlineStr">
        <is>
          <t>D</t>
        </is>
      </c>
      <c r="E55" s="11" t="inlineStr">
        <is>
          <t>Não</t>
        </is>
      </c>
      <c r="F55" s="11" t="n">
        <v>31</v>
      </c>
      <c r="G55" s="11" t="n">
        <v>3</v>
      </c>
      <c r="H55" s="12">
        <f>IF(F55=0,"",G55/F55)</f>
        <v/>
      </c>
    </row>
    <row r="56">
      <c r="A56" s="7" t="inlineStr">
        <is>
          <t>Simulado 01</t>
        </is>
      </c>
      <c r="B56" s="8" t="n">
        <v>3</v>
      </c>
      <c r="C56" s="8" t="inlineStr">
        <is>
          <t>10ª Fase</t>
        </is>
      </c>
      <c r="D56" s="8" t="inlineStr">
        <is>
          <t>E</t>
        </is>
      </c>
      <c r="E56" s="8" t="inlineStr">
        <is>
          <t>Sim</t>
        </is>
      </c>
      <c r="F56" s="8" t="n">
        <v>31</v>
      </c>
      <c r="G56" s="8" t="n">
        <v>18</v>
      </c>
      <c r="H56" s="9">
        <f>IF(F56=0,"",G56/F56)</f>
        <v/>
      </c>
    </row>
    <row r="57">
      <c r="A57" s="10" t="inlineStr">
        <is>
          <t>Simulado 01</t>
        </is>
      </c>
      <c r="B57" s="11" t="n">
        <v>3</v>
      </c>
      <c r="C57" s="11" t="inlineStr">
        <is>
          <t>11ª Fase</t>
        </is>
      </c>
      <c r="D57" s="11" t="inlineStr">
        <is>
          <t>A</t>
        </is>
      </c>
      <c r="E57" s="11" t="inlineStr">
        <is>
          <t>Não</t>
        </is>
      </c>
      <c r="F57" s="11" t="n">
        <v>27</v>
      </c>
      <c r="G57" s="11" t="n">
        <v>1</v>
      </c>
      <c r="H57" s="12">
        <f>IF(F57=0,"",G57/F57)</f>
        <v/>
      </c>
    </row>
    <row r="58">
      <c r="A58" s="7" t="inlineStr">
        <is>
          <t>Simulado 01</t>
        </is>
      </c>
      <c r="B58" s="8" t="n">
        <v>3</v>
      </c>
      <c r="C58" s="8" t="inlineStr">
        <is>
          <t>11ª Fase</t>
        </is>
      </c>
      <c r="D58" s="8" t="inlineStr">
        <is>
          <t>B</t>
        </is>
      </c>
      <c r="E58" s="8" t="inlineStr">
        <is>
          <t>Não</t>
        </is>
      </c>
      <c r="F58" s="8" t="n">
        <v>27</v>
      </c>
      <c r="G58" s="8" t="n">
        <v>0</v>
      </c>
      <c r="H58" s="9">
        <f>IF(F58=0,"",G58/F58)</f>
        <v/>
      </c>
    </row>
    <row r="59">
      <c r="A59" s="10" t="inlineStr">
        <is>
          <t>Simulado 01</t>
        </is>
      </c>
      <c r="B59" s="11" t="n">
        <v>3</v>
      </c>
      <c r="C59" s="11" t="inlineStr">
        <is>
          <t>11ª Fase</t>
        </is>
      </c>
      <c r="D59" s="11" t="inlineStr">
        <is>
          <t>C</t>
        </is>
      </c>
      <c r="E59" s="11" t="inlineStr">
        <is>
          <t>Não</t>
        </is>
      </c>
      <c r="F59" s="11" t="n">
        <v>27</v>
      </c>
      <c r="G59" s="11" t="n">
        <v>7</v>
      </c>
      <c r="H59" s="12">
        <f>IF(F59=0,"",G59/F59)</f>
        <v/>
      </c>
    </row>
    <row r="60">
      <c r="A60" s="7" t="inlineStr">
        <is>
          <t>Simulado 01</t>
        </is>
      </c>
      <c r="B60" s="8" t="n">
        <v>3</v>
      </c>
      <c r="C60" s="8" t="inlineStr">
        <is>
          <t>11ª Fase</t>
        </is>
      </c>
      <c r="D60" s="8" t="inlineStr">
        <is>
          <t>D</t>
        </is>
      </c>
      <c r="E60" s="8" t="inlineStr">
        <is>
          <t>Não</t>
        </is>
      </c>
      <c r="F60" s="8" t="n">
        <v>27</v>
      </c>
      <c r="G60" s="8" t="n">
        <v>2</v>
      </c>
      <c r="H60" s="9">
        <f>IF(F60=0,"",G60/F60)</f>
        <v/>
      </c>
    </row>
    <row r="61">
      <c r="A61" s="10" t="inlineStr">
        <is>
          <t>Simulado 01</t>
        </is>
      </c>
      <c r="B61" s="11" t="n">
        <v>3</v>
      </c>
      <c r="C61" s="11" t="inlineStr">
        <is>
          <t>11ª Fase</t>
        </is>
      </c>
      <c r="D61" s="11" t="inlineStr">
        <is>
          <t>E</t>
        </is>
      </c>
      <c r="E61" s="11" t="inlineStr">
        <is>
          <t>Sim</t>
        </is>
      </c>
      <c r="F61" s="11" t="n">
        <v>27</v>
      </c>
      <c r="G61" s="11" t="n">
        <v>17</v>
      </c>
      <c r="H61" s="12">
        <f>IF(F61=0,"",G61/F61)</f>
        <v/>
      </c>
    </row>
    <row r="62">
      <c r="A62" s="7" t="inlineStr">
        <is>
          <t>Simulado 01</t>
        </is>
      </c>
      <c r="B62" s="8" t="n">
        <v>4</v>
      </c>
      <c r="C62" s="8" t="inlineStr">
        <is>
          <t>6ª Fase</t>
        </is>
      </c>
      <c r="D62" s="8" t="inlineStr">
        <is>
          <t>A</t>
        </is>
      </c>
      <c r="E62" s="8" t="inlineStr">
        <is>
          <t>Não</t>
        </is>
      </c>
      <c r="F62" s="8" t="n">
        <v>27</v>
      </c>
      <c r="G62" s="8" t="n">
        <v>6</v>
      </c>
      <c r="H62" s="9">
        <f>IF(F62=0,"",G62/F62)</f>
        <v/>
      </c>
    </row>
    <row r="63">
      <c r="A63" s="10" t="inlineStr">
        <is>
          <t>Simulado 01</t>
        </is>
      </c>
      <c r="B63" s="11" t="n">
        <v>4</v>
      </c>
      <c r="C63" s="11" t="inlineStr">
        <is>
          <t>6ª Fase</t>
        </is>
      </c>
      <c r="D63" s="11" t="inlineStr">
        <is>
          <t>B</t>
        </is>
      </c>
      <c r="E63" s="11" t="inlineStr">
        <is>
          <t>Não</t>
        </is>
      </c>
      <c r="F63" s="11" t="n">
        <v>27</v>
      </c>
      <c r="G63" s="11" t="n">
        <v>0</v>
      </c>
      <c r="H63" s="12">
        <f>IF(F63=0,"",G63/F63)</f>
        <v/>
      </c>
    </row>
    <row r="64">
      <c r="A64" s="7" t="inlineStr">
        <is>
          <t>Simulado 01</t>
        </is>
      </c>
      <c r="B64" s="8" t="n">
        <v>4</v>
      </c>
      <c r="C64" s="8" t="inlineStr">
        <is>
          <t>6ª Fase</t>
        </is>
      </c>
      <c r="D64" s="8" t="inlineStr">
        <is>
          <t>C</t>
        </is>
      </c>
      <c r="E64" s="8" t="inlineStr">
        <is>
          <t>Não</t>
        </is>
      </c>
      <c r="F64" s="8" t="n">
        <v>27</v>
      </c>
      <c r="G64" s="8" t="n">
        <v>1</v>
      </c>
      <c r="H64" s="9">
        <f>IF(F64=0,"",G64/F64)</f>
        <v/>
      </c>
    </row>
    <row r="65">
      <c r="A65" s="10" t="inlineStr">
        <is>
          <t>Simulado 01</t>
        </is>
      </c>
      <c r="B65" s="11" t="n">
        <v>4</v>
      </c>
      <c r="C65" s="11" t="inlineStr">
        <is>
          <t>6ª Fase</t>
        </is>
      </c>
      <c r="D65" s="11" t="inlineStr">
        <is>
          <t>D</t>
        </is>
      </c>
      <c r="E65" s="11" t="inlineStr">
        <is>
          <t>Sim</t>
        </is>
      </c>
      <c r="F65" s="11" t="n">
        <v>27</v>
      </c>
      <c r="G65" s="11" t="n">
        <v>19</v>
      </c>
      <c r="H65" s="12">
        <f>IF(F65=0,"",G65/F65)</f>
        <v/>
      </c>
    </row>
    <row r="66">
      <c r="A66" s="7" t="inlineStr">
        <is>
          <t>Simulado 01</t>
        </is>
      </c>
      <c r="B66" s="8" t="n">
        <v>4</v>
      </c>
      <c r="C66" s="8" t="inlineStr">
        <is>
          <t>6ª Fase</t>
        </is>
      </c>
      <c r="D66" s="8" t="inlineStr">
        <is>
          <t>E</t>
        </is>
      </c>
      <c r="E66" s="8" t="inlineStr">
        <is>
          <t>Não</t>
        </is>
      </c>
      <c r="F66" s="8" t="n">
        <v>27</v>
      </c>
      <c r="G66" s="8" t="n">
        <v>1</v>
      </c>
      <c r="H66" s="9">
        <f>IF(F66=0,"",G66/F66)</f>
        <v/>
      </c>
    </row>
    <row r="67">
      <c r="A67" s="10" t="inlineStr">
        <is>
          <t>Simulado 01</t>
        </is>
      </c>
      <c r="B67" s="11" t="n">
        <v>4</v>
      </c>
      <c r="C67" s="11" t="inlineStr">
        <is>
          <t>7ª Fase</t>
        </is>
      </c>
      <c r="D67" s="11" t="inlineStr">
        <is>
          <t>A</t>
        </is>
      </c>
      <c r="E67" s="11" t="inlineStr">
        <is>
          <t>Não</t>
        </is>
      </c>
      <c r="F67" s="11" t="n">
        <v>33</v>
      </c>
      <c r="G67" s="11" t="n">
        <v>7</v>
      </c>
      <c r="H67" s="12">
        <f>IF(F67=0,"",G67/F67)</f>
        <v/>
      </c>
    </row>
    <row r="68">
      <c r="A68" s="7" t="inlineStr">
        <is>
          <t>Simulado 01</t>
        </is>
      </c>
      <c r="B68" s="8" t="n">
        <v>4</v>
      </c>
      <c r="C68" s="8" t="inlineStr">
        <is>
          <t>7ª Fase</t>
        </is>
      </c>
      <c r="D68" s="8" t="inlineStr">
        <is>
          <t>B</t>
        </is>
      </c>
      <c r="E68" s="8" t="inlineStr">
        <is>
          <t>Não</t>
        </is>
      </c>
      <c r="F68" s="8" t="n">
        <v>33</v>
      </c>
      <c r="G68" s="8" t="n">
        <v>5</v>
      </c>
      <c r="H68" s="9">
        <f>IF(F68=0,"",G68/F68)</f>
        <v/>
      </c>
    </row>
    <row r="69">
      <c r="A69" s="10" t="inlineStr">
        <is>
          <t>Simulado 01</t>
        </is>
      </c>
      <c r="B69" s="11" t="n">
        <v>4</v>
      </c>
      <c r="C69" s="11" t="inlineStr">
        <is>
          <t>7ª Fase</t>
        </is>
      </c>
      <c r="D69" s="11" t="inlineStr">
        <is>
          <t>C</t>
        </is>
      </c>
      <c r="E69" s="11" t="inlineStr">
        <is>
          <t>Não</t>
        </is>
      </c>
      <c r="F69" s="11" t="n">
        <v>33</v>
      </c>
      <c r="G69" s="11" t="n">
        <v>1</v>
      </c>
      <c r="H69" s="12">
        <f>IF(F69=0,"",G69/F69)</f>
        <v/>
      </c>
    </row>
    <row r="70">
      <c r="A70" s="7" t="inlineStr">
        <is>
          <t>Simulado 01</t>
        </is>
      </c>
      <c r="B70" s="8" t="n">
        <v>4</v>
      </c>
      <c r="C70" s="8" t="inlineStr">
        <is>
          <t>7ª Fase</t>
        </is>
      </c>
      <c r="D70" s="8" t="inlineStr">
        <is>
          <t>D</t>
        </is>
      </c>
      <c r="E70" s="8" t="inlineStr">
        <is>
          <t>Sim</t>
        </is>
      </c>
      <c r="F70" s="8" t="n">
        <v>33</v>
      </c>
      <c r="G70" s="8" t="n">
        <v>19</v>
      </c>
      <c r="H70" s="9">
        <f>IF(F70=0,"",G70/F70)</f>
        <v/>
      </c>
    </row>
    <row r="71">
      <c r="A71" s="10" t="inlineStr">
        <is>
          <t>Simulado 01</t>
        </is>
      </c>
      <c r="B71" s="11" t="n">
        <v>4</v>
      </c>
      <c r="C71" s="11" t="inlineStr">
        <is>
          <t>7ª Fase</t>
        </is>
      </c>
      <c r="D71" s="11" t="inlineStr">
        <is>
          <t>E</t>
        </is>
      </c>
      <c r="E71" s="11" t="inlineStr">
        <is>
          <t>Não</t>
        </is>
      </c>
      <c r="F71" s="11" t="n">
        <v>33</v>
      </c>
      <c r="G71" s="11" t="n">
        <v>1</v>
      </c>
      <c r="H71" s="12">
        <f>IF(F71=0,"",G71/F71)</f>
        <v/>
      </c>
    </row>
    <row r="72">
      <c r="A72" s="7" t="inlineStr">
        <is>
          <t>Simulado 01</t>
        </is>
      </c>
      <c r="B72" s="8" t="n">
        <v>4</v>
      </c>
      <c r="C72" s="8" t="inlineStr">
        <is>
          <t>10ª Fase</t>
        </is>
      </c>
      <c r="D72" s="8" t="inlineStr">
        <is>
          <t>A</t>
        </is>
      </c>
      <c r="E72" s="8" t="inlineStr">
        <is>
          <t>Não</t>
        </is>
      </c>
      <c r="F72" s="8" t="n">
        <v>31</v>
      </c>
      <c r="G72" s="8" t="n">
        <v>7</v>
      </c>
      <c r="H72" s="9">
        <f>IF(F72=0,"",G72/F72)</f>
        <v/>
      </c>
    </row>
    <row r="73">
      <c r="A73" s="10" t="inlineStr">
        <is>
          <t>Simulado 01</t>
        </is>
      </c>
      <c r="B73" s="11" t="n">
        <v>4</v>
      </c>
      <c r="C73" s="11" t="inlineStr">
        <is>
          <t>10ª Fase</t>
        </is>
      </c>
      <c r="D73" s="11" t="inlineStr">
        <is>
          <t>B</t>
        </is>
      </c>
      <c r="E73" s="11" t="inlineStr">
        <is>
          <t>Não</t>
        </is>
      </c>
      <c r="F73" s="11" t="n">
        <v>31</v>
      </c>
      <c r="G73" s="11" t="n">
        <v>5</v>
      </c>
      <c r="H73" s="12">
        <f>IF(F73=0,"",G73/F73)</f>
        <v/>
      </c>
    </row>
    <row r="74">
      <c r="A74" s="7" t="inlineStr">
        <is>
          <t>Simulado 01</t>
        </is>
      </c>
      <c r="B74" s="8" t="n">
        <v>4</v>
      </c>
      <c r="C74" s="8" t="inlineStr">
        <is>
          <t>10ª Fase</t>
        </is>
      </c>
      <c r="D74" s="8" t="inlineStr">
        <is>
          <t>C</t>
        </is>
      </c>
      <c r="E74" s="8" t="inlineStr">
        <is>
          <t>Não</t>
        </is>
      </c>
      <c r="F74" s="8" t="n">
        <v>31</v>
      </c>
      <c r="G74" s="8" t="n">
        <v>3</v>
      </c>
      <c r="H74" s="9">
        <f>IF(F74=0,"",G74/F74)</f>
        <v/>
      </c>
    </row>
    <row r="75">
      <c r="A75" s="10" t="inlineStr">
        <is>
          <t>Simulado 01</t>
        </is>
      </c>
      <c r="B75" s="11" t="n">
        <v>4</v>
      </c>
      <c r="C75" s="11" t="inlineStr">
        <is>
          <t>10ª Fase</t>
        </is>
      </c>
      <c r="D75" s="11" t="inlineStr">
        <is>
          <t>D</t>
        </is>
      </c>
      <c r="E75" s="11" t="inlineStr">
        <is>
          <t>Sim</t>
        </is>
      </c>
      <c r="F75" s="11" t="n">
        <v>31</v>
      </c>
      <c r="G75" s="11" t="n">
        <v>13</v>
      </c>
      <c r="H75" s="12">
        <f>IF(F75=0,"",G75/F75)</f>
        <v/>
      </c>
    </row>
    <row r="76">
      <c r="A76" s="7" t="inlineStr">
        <is>
          <t>Simulado 01</t>
        </is>
      </c>
      <c r="B76" s="8" t="n">
        <v>4</v>
      </c>
      <c r="C76" s="8" t="inlineStr">
        <is>
          <t>10ª Fase</t>
        </is>
      </c>
      <c r="D76" s="8" t="inlineStr">
        <is>
          <t>E</t>
        </is>
      </c>
      <c r="E76" s="8" t="inlineStr">
        <is>
          <t>Não</t>
        </is>
      </c>
      <c r="F76" s="8" t="n">
        <v>31</v>
      </c>
      <c r="G76" s="8" t="n">
        <v>3</v>
      </c>
      <c r="H76" s="9">
        <f>IF(F76=0,"",G76/F76)</f>
        <v/>
      </c>
    </row>
    <row r="77">
      <c r="A77" s="10" t="inlineStr">
        <is>
          <t>Simulado 01</t>
        </is>
      </c>
      <c r="B77" s="11" t="n">
        <v>4</v>
      </c>
      <c r="C77" s="11" t="inlineStr">
        <is>
          <t>11ª Fase</t>
        </is>
      </c>
      <c r="D77" s="11" t="inlineStr">
        <is>
          <t>A</t>
        </is>
      </c>
      <c r="E77" s="11" t="inlineStr">
        <is>
          <t>Não</t>
        </is>
      </c>
      <c r="F77" s="11" t="n">
        <v>27</v>
      </c>
      <c r="G77" s="11" t="n">
        <v>7</v>
      </c>
      <c r="H77" s="12">
        <f>IF(F77=0,"",G77/F77)</f>
        <v/>
      </c>
    </row>
    <row r="78">
      <c r="A78" s="7" t="inlineStr">
        <is>
          <t>Simulado 01</t>
        </is>
      </c>
      <c r="B78" s="8" t="n">
        <v>4</v>
      </c>
      <c r="C78" s="8" t="inlineStr">
        <is>
          <t>11ª Fase</t>
        </is>
      </c>
      <c r="D78" s="8" t="inlineStr">
        <is>
          <t>B</t>
        </is>
      </c>
      <c r="E78" s="8" t="inlineStr">
        <is>
          <t>Não</t>
        </is>
      </c>
      <c r="F78" s="8" t="n">
        <v>27</v>
      </c>
      <c r="G78" s="8" t="n">
        <v>2</v>
      </c>
      <c r="H78" s="9">
        <f>IF(F78=0,"",G78/F78)</f>
        <v/>
      </c>
    </row>
    <row r="79">
      <c r="A79" s="10" t="inlineStr">
        <is>
          <t>Simulado 01</t>
        </is>
      </c>
      <c r="B79" s="11" t="n">
        <v>4</v>
      </c>
      <c r="C79" s="11" t="inlineStr">
        <is>
          <t>11ª Fase</t>
        </is>
      </c>
      <c r="D79" s="11" t="inlineStr">
        <is>
          <t>C</t>
        </is>
      </c>
      <c r="E79" s="11" t="inlineStr">
        <is>
          <t>Não</t>
        </is>
      </c>
      <c r="F79" s="11" t="n">
        <v>27</v>
      </c>
      <c r="G79" s="11" t="n">
        <v>2</v>
      </c>
      <c r="H79" s="12">
        <f>IF(F79=0,"",G79/F79)</f>
        <v/>
      </c>
    </row>
    <row r="80">
      <c r="A80" s="7" t="inlineStr">
        <is>
          <t>Simulado 01</t>
        </is>
      </c>
      <c r="B80" s="8" t="n">
        <v>4</v>
      </c>
      <c r="C80" s="8" t="inlineStr">
        <is>
          <t>11ª Fase</t>
        </is>
      </c>
      <c r="D80" s="8" t="inlineStr">
        <is>
          <t>D</t>
        </is>
      </c>
      <c r="E80" s="8" t="inlineStr">
        <is>
          <t>Sim</t>
        </is>
      </c>
      <c r="F80" s="8" t="n">
        <v>27</v>
      </c>
      <c r="G80" s="8" t="n">
        <v>15</v>
      </c>
      <c r="H80" s="9">
        <f>IF(F80=0,"",G80/F80)</f>
        <v/>
      </c>
    </row>
    <row r="81">
      <c r="A81" s="10" t="inlineStr">
        <is>
          <t>Simulado 01</t>
        </is>
      </c>
      <c r="B81" s="11" t="n">
        <v>4</v>
      </c>
      <c r="C81" s="11" t="inlineStr">
        <is>
          <t>11ª Fase</t>
        </is>
      </c>
      <c r="D81" s="11" t="inlineStr">
        <is>
          <t>E</t>
        </is>
      </c>
      <c r="E81" s="11" t="inlineStr">
        <is>
          <t>Não</t>
        </is>
      </c>
      <c r="F81" s="11" t="n">
        <v>27</v>
      </c>
      <c r="G81" s="11" t="n">
        <v>1</v>
      </c>
      <c r="H81" s="12">
        <f>IF(F81=0,"",G81/F81)</f>
        <v/>
      </c>
    </row>
    <row r="82">
      <c r="A82" s="7" t="inlineStr">
        <is>
          <t>Simulado 01</t>
        </is>
      </c>
      <c r="B82" s="8" t="n">
        <v>5</v>
      </c>
      <c r="C82" s="8" t="inlineStr">
        <is>
          <t>6ª Fase</t>
        </is>
      </c>
      <c r="D82" s="8" t="inlineStr">
        <is>
          <t>A</t>
        </is>
      </c>
      <c r="E82" s="8" t="inlineStr">
        <is>
          <t>Sim</t>
        </is>
      </c>
      <c r="F82" s="8" t="n">
        <v>27</v>
      </c>
      <c r="G82" s="8" t="n">
        <v>6</v>
      </c>
      <c r="H82" s="9">
        <f>IF(F82=0,"",G82/F82)</f>
        <v/>
      </c>
    </row>
    <row r="83">
      <c r="A83" s="10" t="inlineStr">
        <is>
          <t>Simulado 01</t>
        </is>
      </c>
      <c r="B83" s="11" t="n">
        <v>5</v>
      </c>
      <c r="C83" s="11" t="inlineStr">
        <is>
          <t>6ª Fase</t>
        </is>
      </c>
      <c r="D83" s="11" t="inlineStr">
        <is>
          <t>B</t>
        </is>
      </c>
      <c r="E83" s="11" t="inlineStr">
        <is>
          <t>Não</t>
        </is>
      </c>
      <c r="F83" s="11" t="n">
        <v>27</v>
      </c>
      <c r="G83" s="11" t="n">
        <v>2</v>
      </c>
      <c r="H83" s="12">
        <f>IF(F83=0,"",G83/F83)</f>
        <v/>
      </c>
    </row>
    <row r="84">
      <c r="A84" s="7" t="inlineStr">
        <is>
          <t>Simulado 01</t>
        </is>
      </c>
      <c r="B84" s="8" t="n">
        <v>5</v>
      </c>
      <c r="C84" s="8" t="inlineStr">
        <is>
          <t>6ª Fase</t>
        </is>
      </c>
      <c r="D84" s="8" t="inlineStr">
        <is>
          <t>C</t>
        </is>
      </c>
      <c r="E84" s="8" t="inlineStr">
        <is>
          <t>Não</t>
        </is>
      </c>
      <c r="F84" s="8" t="n">
        <v>27</v>
      </c>
      <c r="G84" s="8" t="n">
        <v>0</v>
      </c>
      <c r="H84" s="9">
        <f>IF(F84=0,"",G84/F84)</f>
        <v/>
      </c>
    </row>
    <row r="85">
      <c r="A85" s="10" t="inlineStr">
        <is>
          <t>Simulado 01</t>
        </is>
      </c>
      <c r="B85" s="11" t="n">
        <v>5</v>
      </c>
      <c r="C85" s="11" t="inlineStr">
        <is>
          <t>6ª Fase</t>
        </is>
      </c>
      <c r="D85" s="11" t="inlineStr">
        <is>
          <t>D</t>
        </is>
      </c>
      <c r="E85" s="11" t="inlineStr">
        <is>
          <t>Não</t>
        </is>
      </c>
      <c r="F85" s="11" t="n">
        <v>27</v>
      </c>
      <c r="G85" s="11" t="n">
        <v>18</v>
      </c>
      <c r="H85" s="12">
        <f>IF(F85=0,"",G85/F85)</f>
        <v/>
      </c>
    </row>
    <row r="86">
      <c r="A86" s="7" t="inlineStr">
        <is>
          <t>Simulado 01</t>
        </is>
      </c>
      <c r="B86" s="8" t="n">
        <v>5</v>
      </c>
      <c r="C86" s="8" t="inlineStr">
        <is>
          <t>6ª Fase</t>
        </is>
      </c>
      <c r="D86" s="8" t="inlineStr">
        <is>
          <t>E</t>
        </is>
      </c>
      <c r="E86" s="8" t="inlineStr">
        <is>
          <t>Não</t>
        </is>
      </c>
      <c r="F86" s="8" t="n">
        <v>27</v>
      </c>
      <c r="G86" s="8" t="n">
        <v>1</v>
      </c>
      <c r="H86" s="9">
        <f>IF(F86=0,"",G86/F86)</f>
        <v/>
      </c>
    </row>
    <row r="87">
      <c r="A87" s="10" t="inlineStr">
        <is>
          <t>Simulado 01</t>
        </is>
      </c>
      <c r="B87" s="11" t="n">
        <v>5</v>
      </c>
      <c r="C87" s="11" t="inlineStr">
        <is>
          <t>7ª Fase</t>
        </is>
      </c>
      <c r="D87" s="11" t="inlineStr">
        <is>
          <t>A</t>
        </is>
      </c>
      <c r="E87" s="11" t="inlineStr">
        <is>
          <t>Sim</t>
        </is>
      </c>
      <c r="F87" s="11" t="n">
        <v>33</v>
      </c>
      <c r="G87" s="11" t="n">
        <v>14</v>
      </c>
      <c r="H87" s="12">
        <f>IF(F87=0,"",G87/F87)</f>
        <v/>
      </c>
    </row>
    <row r="88">
      <c r="A88" s="7" t="inlineStr">
        <is>
          <t>Simulado 01</t>
        </is>
      </c>
      <c r="B88" s="8" t="n">
        <v>5</v>
      </c>
      <c r="C88" s="8" t="inlineStr">
        <is>
          <t>7ª Fase</t>
        </is>
      </c>
      <c r="D88" s="8" t="inlineStr">
        <is>
          <t>B</t>
        </is>
      </c>
      <c r="E88" s="8" t="inlineStr">
        <is>
          <t>Não</t>
        </is>
      </c>
      <c r="F88" s="8" t="n">
        <v>33</v>
      </c>
      <c r="G88" s="8" t="n">
        <v>4</v>
      </c>
      <c r="H88" s="9">
        <f>IF(F88=0,"",G88/F88)</f>
        <v/>
      </c>
    </row>
    <row r="89">
      <c r="A89" s="10" t="inlineStr">
        <is>
          <t>Simulado 01</t>
        </is>
      </c>
      <c r="B89" s="11" t="n">
        <v>5</v>
      </c>
      <c r="C89" s="11" t="inlineStr">
        <is>
          <t>7ª Fase</t>
        </is>
      </c>
      <c r="D89" s="11" t="inlineStr">
        <is>
          <t>C</t>
        </is>
      </c>
      <c r="E89" s="11" t="inlineStr">
        <is>
          <t>Não</t>
        </is>
      </c>
      <c r="F89" s="11" t="n">
        <v>33</v>
      </c>
      <c r="G89" s="11" t="n">
        <v>3</v>
      </c>
      <c r="H89" s="12">
        <f>IF(F89=0,"",G89/F89)</f>
        <v/>
      </c>
    </row>
    <row r="90">
      <c r="A90" s="7" t="inlineStr">
        <is>
          <t>Simulado 01</t>
        </is>
      </c>
      <c r="B90" s="8" t="n">
        <v>5</v>
      </c>
      <c r="C90" s="8" t="inlineStr">
        <is>
          <t>7ª Fase</t>
        </is>
      </c>
      <c r="D90" s="8" t="inlineStr">
        <is>
          <t>D</t>
        </is>
      </c>
      <c r="E90" s="8" t="inlineStr">
        <is>
          <t>Não</t>
        </is>
      </c>
      <c r="F90" s="8" t="n">
        <v>33</v>
      </c>
      <c r="G90" s="8" t="n">
        <v>11</v>
      </c>
      <c r="H90" s="9">
        <f>IF(F90=0,"",G90/F90)</f>
        <v/>
      </c>
    </row>
    <row r="91">
      <c r="A91" s="10" t="inlineStr">
        <is>
          <t>Simulado 01</t>
        </is>
      </c>
      <c r="B91" s="11" t="n">
        <v>5</v>
      </c>
      <c r="C91" s="11" t="inlineStr">
        <is>
          <t>7ª Fase</t>
        </is>
      </c>
      <c r="D91" s="11" t="inlineStr">
        <is>
          <t>E</t>
        </is>
      </c>
      <c r="E91" s="11" t="inlineStr">
        <is>
          <t>Não</t>
        </is>
      </c>
      <c r="F91" s="11" t="n">
        <v>33</v>
      </c>
      <c r="G91" s="11" t="n">
        <v>1</v>
      </c>
      <c r="H91" s="12">
        <f>IF(F91=0,"",G91/F91)</f>
        <v/>
      </c>
    </row>
    <row r="92">
      <c r="A92" s="7" t="inlineStr">
        <is>
          <t>Simulado 01</t>
        </is>
      </c>
      <c r="B92" s="8" t="n">
        <v>5</v>
      </c>
      <c r="C92" s="8" t="inlineStr">
        <is>
          <t>10ª Fase</t>
        </is>
      </c>
      <c r="D92" s="8" t="inlineStr">
        <is>
          <t>A</t>
        </is>
      </c>
      <c r="E92" s="8" t="inlineStr">
        <is>
          <t>Sim</t>
        </is>
      </c>
      <c r="F92" s="8" t="n">
        <v>31</v>
      </c>
      <c r="G92" s="8" t="n">
        <v>16</v>
      </c>
      <c r="H92" s="9">
        <f>IF(F92=0,"",G92/F92)</f>
        <v/>
      </c>
    </row>
    <row r="93">
      <c r="A93" s="10" t="inlineStr">
        <is>
          <t>Simulado 01</t>
        </is>
      </c>
      <c r="B93" s="11" t="n">
        <v>5</v>
      </c>
      <c r="C93" s="11" t="inlineStr">
        <is>
          <t>10ª Fase</t>
        </is>
      </c>
      <c r="D93" s="11" t="inlineStr">
        <is>
          <t>B</t>
        </is>
      </c>
      <c r="E93" s="11" t="inlineStr">
        <is>
          <t>Não</t>
        </is>
      </c>
      <c r="F93" s="11" t="n">
        <v>31</v>
      </c>
      <c r="G93" s="11" t="n">
        <v>3</v>
      </c>
      <c r="H93" s="12">
        <f>IF(F93=0,"",G93/F93)</f>
        <v/>
      </c>
    </row>
    <row r="94">
      <c r="A94" s="7" t="inlineStr">
        <is>
          <t>Simulado 01</t>
        </is>
      </c>
      <c r="B94" s="8" t="n">
        <v>5</v>
      </c>
      <c r="C94" s="8" t="inlineStr">
        <is>
          <t>10ª Fase</t>
        </is>
      </c>
      <c r="D94" s="8" t="inlineStr">
        <is>
          <t>C</t>
        </is>
      </c>
      <c r="E94" s="8" t="inlineStr">
        <is>
          <t>Não</t>
        </is>
      </c>
      <c r="F94" s="8" t="n">
        <v>31</v>
      </c>
      <c r="G94" s="8" t="n">
        <v>0</v>
      </c>
      <c r="H94" s="9">
        <f>IF(F94=0,"",G94/F94)</f>
        <v/>
      </c>
    </row>
    <row r="95">
      <c r="A95" s="10" t="inlineStr">
        <is>
          <t>Simulado 01</t>
        </is>
      </c>
      <c r="B95" s="11" t="n">
        <v>5</v>
      </c>
      <c r="C95" s="11" t="inlineStr">
        <is>
          <t>10ª Fase</t>
        </is>
      </c>
      <c r="D95" s="11" t="inlineStr">
        <is>
          <t>D</t>
        </is>
      </c>
      <c r="E95" s="11" t="inlineStr">
        <is>
          <t>Não</t>
        </is>
      </c>
      <c r="F95" s="11" t="n">
        <v>31</v>
      </c>
      <c r="G95" s="11" t="n">
        <v>12</v>
      </c>
      <c r="H95" s="12">
        <f>IF(F95=0,"",G95/F95)</f>
        <v/>
      </c>
    </row>
    <row r="96">
      <c r="A96" s="7" t="inlineStr">
        <is>
          <t>Simulado 01</t>
        </is>
      </c>
      <c r="B96" s="8" t="n">
        <v>5</v>
      </c>
      <c r="C96" s="8" t="inlineStr">
        <is>
          <t>10ª Fase</t>
        </is>
      </c>
      <c r="D96" s="8" t="inlineStr">
        <is>
          <t>E</t>
        </is>
      </c>
      <c r="E96" s="8" t="inlineStr">
        <is>
          <t>Não</t>
        </is>
      </c>
      <c r="F96" s="8" t="n">
        <v>31</v>
      </c>
      <c r="G96" s="8" t="n">
        <v>0</v>
      </c>
      <c r="H96" s="9">
        <f>IF(F96=0,"",G96/F96)</f>
        <v/>
      </c>
    </row>
    <row r="97">
      <c r="A97" s="10" t="inlineStr">
        <is>
          <t>Simulado 01</t>
        </is>
      </c>
      <c r="B97" s="11" t="n">
        <v>5</v>
      </c>
      <c r="C97" s="11" t="inlineStr">
        <is>
          <t>11ª Fase</t>
        </is>
      </c>
      <c r="D97" s="11" t="inlineStr">
        <is>
          <t>A</t>
        </is>
      </c>
      <c r="E97" s="11" t="inlineStr">
        <is>
          <t>Sim</t>
        </is>
      </c>
      <c r="F97" s="11" t="n">
        <v>27</v>
      </c>
      <c r="G97" s="11" t="n">
        <v>12</v>
      </c>
      <c r="H97" s="12">
        <f>IF(F97=0,"",G97/F97)</f>
        <v/>
      </c>
    </row>
    <row r="98">
      <c r="A98" s="7" t="inlineStr">
        <is>
          <t>Simulado 01</t>
        </is>
      </c>
      <c r="B98" s="8" t="n">
        <v>5</v>
      </c>
      <c r="C98" s="8" t="inlineStr">
        <is>
          <t>11ª Fase</t>
        </is>
      </c>
      <c r="D98" s="8" t="inlineStr">
        <is>
          <t>B</t>
        </is>
      </c>
      <c r="E98" s="8" t="inlineStr">
        <is>
          <t>Não</t>
        </is>
      </c>
      <c r="F98" s="8" t="n">
        <v>27</v>
      </c>
      <c r="G98" s="8" t="n">
        <v>3</v>
      </c>
      <c r="H98" s="9">
        <f>IF(F98=0,"",G98/F98)</f>
        <v/>
      </c>
    </row>
    <row r="99">
      <c r="A99" s="10" t="inlineStr">
        <is>
          <t>Simulado 01</t>
        </is>
      </c>
      <c r="B99" s="11" t="n">
        <v>5</v>
      </c>
      <c r="C99" s="11" t="inlineStr">
        <is>
          <t>11ª Fase</t>
        </is>
      </c>
      <c r="D99" s="11" t="inlineStr">
        <is>
          <t>C</t>
        </is>
      </c>
      <c r="E99" s="11" t="inlineStr">
        <is>
          <t>Não</t>
        </is>
      </c>
      <c r="F99" s="11" t="n">
        <v>27</v>
      </c>
      <c r="G99" s="11" t="n">
        <v>2</v>
      </c>
      <c r="H99" s="12">
        <f>IF(F99=0,"",G99/F99)</f>
        <v/>
      </c>
    </row>
    <row r="100">
      <c r="A100" s="7" t="inlineStr">
        <is>
          <t>Simulado 01</t>
        </is>
      </c>
      <c r="B100" s="8" t="n">
        <v>5</v>
      </c>
      <c r="C100" s="8" t="inlineStr">
        <is>
          <t>11ª Fase</t>
        </is>
      </c>
      <c r="D100" s="8" t="inlineStr">
        <is>
          <t>D</t>
        </is>
      </c>
      <c r="E100" s="8" t="inlineStr">
        <is>
          <t>Não</t>
        </is>
      </c>
      <c r="F100" s="8" t="n">
        <v>27</v>
      </c>
      <c r="G100" s="8" t="n">
        <v>9</v>
      </c>
      <c r="H100" s="9">
        <f>IF(F100=0,"",G100/F100)</f>
        <v/>
      </c>
    </row>
    <row r="101">
      <c r="A101" s="10" t="inlineStr">
        <is>
          <t>Simulado 01</t>
        </is>
      </c>
      <c r="B101" s="11" t="n">
        <v>5</v>
      </c>
      <c r="C101" s="11" t="inlineStr">
        <is>
          <t>11ª Fase</t>
        </is>
      </c>
      <c r="D101" s="11" t="inlineStr">
        <is>
          <t>E</t>
        </is>
      </c>
      <c r="E101" s="11" t="inlineStr">
        <is>
          <t>Não</t>
        </is>
      </c>
      <c r="F101" s="11" t="n">
        <v>27</v>
      </c>
      <c r="G101" s="11" t="n">
        <v>1</v>
      </c>
      <c r="H101" s="12">
        <f>IF(F101=0,"",G101/F101)</f>
        <v/>
      </c>
    </row>
    <row r="102">
      <c r="A102" s="7" t="inlineStr">
        <is>
          <t>Simulado 01</t>
        </is>
      </c>
      <c r="B102" s="8" t="n">
        <v>6</v>
      </c>
      <c r="C102" s="8" t="inlineStr">
        <is>
          <t>6ª Fase</t>
        </is>
      </c>
      <c r="D102" s="8" t="inlineStr">
        <is>
          <t>A</t>
        </is>
      </c>
      <c r="E102" s="8" t="inlineStr">
        <is>
          <t>Não</t>
        </is>
      </c>
      <c r="F102" s="8" t="n">
        <v>27</v>
      </c>
      <c r="G102" s="8" t="n">
        <v>0</v>
      </c>
      <c r="H102" s="9">
        <f>IF(F102=0,"",G102/F102)</f>
        <v/>
      </c>
    </row>
    <row r="103">
      <c r="A103" s="10" t="inlineStr">
        <is>
          <t>Simulado 01</t>
        </is>
      </c>
      <c r="B103" s="11" t="n">
        <v>6</v>
      </c>
      <c r="C103" s="11" t="inlineStr">
        <is>
          <t>6ª Fase</t>
        </is>
      </c>
      <c r="D103" s="11" t="inlineStr">
        <is>
          <t>B</t>
        </is>
      </c>
      <c r="E103" s="11" t="inlineStr">
        <is>
          <t>Sim</t>
        </is>
      </c>
      <c r="F103" s="11" t="n">
        <v>27</v>
      </c>
      <c r="G103" s="11" t="n">
        <v>2</v>
      </c>
      <c r="H103" s="12">
        <f>IF(F103=0,"",G103/F103)</f>
        <v/>
      </c>
    </row>
    <row r="104">
      <c r="A104" s="7" t="inlineStr">
        <is>
          <t>Simulado 01</t>
        </is>
      </c>
      <c r="B104" s="8" t="n">
        <v>6</v>
      </c>
      <c r="C104" s="8" t="inlineStr">
        <is>
          <t>6ª Fase</t>
        </is>
      </c>
      <c r="D104" s="8" t="inlineStr">
        <is>
          <t>C</t>
        </is>
      </c>
      <c r="E104" s="8" t="inlineStr">
        <is>
          <t>Não</t>
        </is>
      </c>
      <c r="F104" s="8" t="n">
        <v>27</v>
      </c>
      <c r="G104" s="8" t="n">
        <v>12</v>
      </c>
      <c r="H104" s="9">
        <f>IF(F104=0,"",G104/F104)</f>
        <v/>
      </c>
    </row>
    <row r="105">
      <c r="A105" s="10" t="inlineStr">
        <is>
          <t>Simulado 01</t>
        </is>
      </c>
      <c r="B105" s="11" t="n">
        <v>6</v>
      </c>
      <c r="C105" s="11" t="inlineStr">
        <is>
          <t>6ª Fase</t>
        </is>
      </c>
      <c r="D105" s="11" t="inlineStr">
        <is>
          <t>D</t>
        </is>
      </c>
      <c r="E105" s="11" t="inlineStr">
        <is>
          <t>Não</t>
        </is>
      </c>
      <c r="F105" s="11" t="n">
        <v>27</v>
      </c>
      <c r="G105" s="11" t="n">
        <v>6</v>
      </c>
      <c r="H105" s="12">
        <f>IF(F105=0,"",G105/F105)</f>
        <v/>
      </c>
    </row>
    <row r="106">
      <c r="A106" s="7" t="inlineStr">
        <is>
          <t>Simulado 01</t>
        </is>
      </c>
      <c r="B106" s="8" t="n">
        <v>6</v>
      </c>
      <c r="C106" s="8" t="inlineStr">
        <is>
          <t>6ª Fase</t>
        </is>
      </c>
      <c r="D106" s="8" t="inlineStr">
        <is>
          <t>E</t>
        </is>
      </c>
      <c r="E106" s="8" t="inlineStr">
        <is>
          <t>Não</t>
        </is>
      </c>
      <c r="F106" s="8" t="n">
        <v>27</v>
      </c>
      <c r="G106" s="8" t="n">
        <v>7</v>
      </c>
      <c r="H106" s="9">
        <f>IF(F106=0,"",G106/F106)</f>
        <v/>
      </c>
    </row>
    <row r="107">
      <c r="A107" s="10" t="inlineStr">
        <is>
          <t>Simulado 01</t>
        </is>
      </c>
      <c r="B107" s="11" t="n">
        <v>6</v>
      </c>
      <c r="C107" s="11" t="inlineStr">
        <is>
          <t>7ª Fase</t>
        </is>
      </c>
      <c r="D107" s="11" t="inlineStr">
        <is>
          <t>A</t>
        </is>
      </c>
      <c r="E107" s="11" t="inlineStr">
        <is>
          <t>Não</t>
        </is>
      </c>
      <c r="F107" s="11" t="n">
        <v>33</v>
      </c>
      <c r="G107" s="11" t="n">
        <v>0</v>
      </c>
      <c r="H107" s="12">
        <f>IF(F107=0,"",G107/F107)</f>
        <v/>
      </c>
    </row>
    <row r="108">
      <c r="A108" s="7" t="inlineStr">
        <is>
          <t>Simulado 01</t>
        </is>
      </c>
      <c r="B108" s="8" t="n">
        <v>6</v>
      </c>
      <c r="C108" s="8" t="inlineStr">
        <is>
          <t>7ª Fase</t>
        </is>
      </c>
      <c r="D108" s="8" t="inlineStr">
        <is>
          <t>B</t>
        </is>
      </c>
      <c r="E108" s="8" t="inlineStr">
        <is>
          <t>Sim</t>
        </is>
      </c>
      <c r="F108" s="8" t="n">
        <v>33</v>
      </c>
      <c r="G108" s="8" t="n">
        <v>4</v>
      </c>
      <c r="H108" s="9">
        <f>IF(F108=0,"",G108/F108)</f>
        <v/>
      </c>
    </row>
    <row r="109">
      <c r="A109" s="10" t="inlineStr">
        <is>
          <t>Simulado 01</t>
        </is>
      </c>
      <c r="B109" s="11" t="n">
        <v>6</v>
      </c>
      <c r="C109" s="11" t="inlineStr">
        <is>
          <t>7ª Fase</t>
        </is>
      </c>
      <c r="D109" s="11" t="inlineStr">
        <is>
          <t>C</t>
        </is>
      </c>
      <c r="E109" s="11" t="inlineStr">
        <is>
          <t>Não</t>
        </is>
      </c>
      <c r="F109" s="11" t="n">
        <v>33</v>
      </c>
      <c r="G109" s="11" t="n">
        <v>6</v>
      </c>
      <c r="H109" s="12">
        <f>IF(F109=0,"",G109/F109)</f>
        <v/>
      </c>
    </row>
    <row r="110">
      <c r="A110" s="7" t="inlineStr">
        <is>
          <t>Simulado 01</t>
        </is>
      </c>
      <c r="B110" s="8" t="n">
        <v>6</v>
      </c>
      <c r="C110" s="8" t="inlineStr">
        <is>
          <t>7ª Fase</t>
        </is>
      </c>
      <c r="D110" s="8" t="inlineStr">
        <is>
          <t>D</t>
        </is>
      </c>
      <c r="E110" s="8" t="inlineStr">
        <is>
          <t>Não</t>
        </is>
      </c>
      <c r="F110" s="8" t="n">
        <v>33</v>
      </c>
      <c r="G110" s="8" t="n">
        <v>15</v>
      </c>
      <c r="H110" s="9">
        <f>IF(F110=0,"",G110/F110)</f>
        <v/>
      </c>
    </row>
    <row r="111">
      <c r="A111" s="10" t="inlineStr">
        <is>
          <t>Simulado 01</t>
        </is>
      </c>
      <c r="B111" s="11" t="n">
        <v>6</v>
      </c>
      <c r="C111" s="11" t="inlineStr">
        <is>
          <t>7ª Fase</t>
        </is>
      </c>
      <c r="D111" s="11" t="inlineStr">
        <is>
          <t>E</t>
        </is>
      </c>
      <c r="E111" s="11" t="inlineStr">
        <is>
          <t>Não</t>
        </is>
      </c>
      <c r="F111" s="11" t="n">
        <v>33</v>
      </c>
      <c r="G111" s="11" t="n">
        <v>8</v>
      </c>
      <c r="H111" s="12">
        <f>IF(F111=0,"",G111/F111)</f>
        <v/>
      </c>
    </row>
    <row r="112">
      <c r="A112" s="7" t="inlineStr">
        <is>
          <t>Simulado 01</t>
        </is>
      </c>
      <c r="B112" s="8" t="n">
        <v>6</v>
      </c>
      <c r="C112" s="8" t="inlineStr">
        <is>
          <t>10ª Fase</t>
        </is>
      </c>
      <c r="D112" s="8" t="inlineStr">
        <is>
          <t>A</t>
        </is>
      </c>
      <c r="E112" s="8" t="inlineStr">
        <is>
          <t>Não</t>
        </is>
      </c>
      <c r="F112" s="8" t="n">
        <v>31</v>
      </c>
      <c r="G112" s="8" t="n">
        <v>0</v>
      </c>
      <c r="H112" s="9">
        <f>IF(F112=0,"",G112/F112)</f>
        <v/>
      </c>
    </row>
    <row r="113">
      <c r="A113" s="10" t="inlineStr">
        <is>
          <t>Simulado 01</t>
        </is>
      </c>
      <c r="B113" s="11" t="n">
        <v>6</v>
      </c>
      <c r="C113" s="11" t="inlineStr">
        <is>
          <t>10ª Fase</t>
        </is>
      </c>
      <c r="D113" s="11" t="inlineStr">
        <is>
          <t>B</t>
        </is>
      </c>
      <c r="E113" s="11" t="inlineStr">
        <is>
          <t>Sim</t>
        </is>
      </c>
      <c r="F113" s="11" t="n">
        <v>31</v>
      </c>
      <c r="G113" s="11" t="n">
        <v>3</v>
      </c>
      <c r="H113" s="12">
        <f>IF(F113=0,"",G113/F113)</f>
        <v/>
      </c>
    </row>
    <row r="114">
      <c r="A114" s="7" t="inlineStr">
        <is>
          <t>Simulado 01</t>
        </is>
      </c>
      <c r="B114" s="8" t="n">
        <v>6</v>
      </c>
      <c r="C114" s="8" t="inlineStr">
        <is>
          <t>10ª Fase</t>
        </is>
      </c>
      <c r="D114" s="8" t="inlineStr">
        <is>
          <t>C</t>
        </is>
      </c>
      <c r="E114" s="8" t="inlineStr">
        <is>
          <t>Não</t>
        </is>
      </c>
      <c r="F114" s="8" t="n">
        <v>31</v>
      </c>
      <c r="G114" s="8" t="n">
        <v>17</v>
      </c>
      <c r="H114" s="9">
        <f>IF(F114=0,"",G114/F114)</f>
        <v/>
      </c>
    </row>
    <row r="115">
      <c r="A115" s="10" t="inlineStr">
        <is>
          <t>Simulado 01</t>
        </is>
      </c>
      <c r="B115" s="11" t="n">
        <v>6</v>
      </c>
      <c r="C115" s="11" t="inlineStr">
        <is>
          <t>10ª Fase</t>
        </is>
      </c>
      <c r="D115" s="11" t="inlineStr">
        <is>
          <t>D</t>
        </is>
      </c>
      <c r="E115" s="11" t="inlineStr">
        <is>
          <t>Não</t>
        </is>
      </c>
      <c r="F115" s="11" t="n">
        <v>31</v>
      </c>
      <c r="G115" s="11" t="n">
        <v>4</v>
      </c>
      <c r="H115" s="12">
        <f>IF(F115=0,"",G115/F115)</f>
        <v/>
      </c>
    </row>
    <row r="116">
      <c r="A116" s="7" t="inlineStr">
        <is>
          <t>Simulado 01</t>
        </is>
      </c>
      <c r="B116" s="8" t="n">
        <v>6</v>
      </c>
      <c r="C116" s="8" t="inlineStr">
        <is>
          <t>10ª Fase</t>
        </is>
      </c>
      <c r="D116" s="8" t="inlineStr">
        <is>
          <t>E</t>
        </is>
      </c>
      <c r="E116" s="8" t="inlineStr">
        <is>
          <t>Não</t>
        </is>
      </c>
      <c r="F116" s="8" t="n">
        <v>31</v>
      </c>
      <c r="G116" s="8" t="n">
        <v>7</v>
      </c>
      <c r="H116" s="9">
        <f>IF(F116=0,"",G116/F116)</f>
        <v/>
      </c>
    </row>
    <row r="117">
      <c r="A117" s="10" t="inlineStr">
        <is>
          <t>Simulado 01</t>
        </is>
      </c>
      <c r="B117" s="11" t="n">
        <v>6</v>
      </c>
      <c r="C117" s="11" t="inlineStr">
        <is>
          <t>11ª Fase</t>
        </is>
      </c>
      <c r="D117" s="11" t="inlineStr">
        <is>
          <t>A</t>
        </is>
      </c>
      <c r="E117" s="11" t="inlineStr">
        <is>
          <t>Não</t>
        </is>
      </c>
      <c r="F117" s="11" t="n">
        <v>27</v>
      </c>
      <c r="G117" s="11" t="n">
        <v>0</v>
      </c>
      <c r="H117" s="12">
        <f>IF(F117=0,"",G117/F117)</f>
        <v/>
      </c>
    </row>
    <row r="118">
      <c r="A118" s="7" t="inlineStr">
        <is>
          <t>Simulado 01</t>
        </is>
      </c>
      <c r="B118" s="8" t="n">
        <v>6</v>
      </c>
      <c r="C118" s="8" t="inlineStr">
        <is>
          <t>11ª Fase</t>
        </is>
      </c>
      <c r="D118" s="8" t="inlineStr">
        <is>
          <t>B</t>
        </is>
      </c>
      <c r="E118" s="8" t="inlineStr">
        <is>
          <t>Sim</t>
        </is>
      </c>
      <c r="F118" s="8" t="n">
        <v>27</v>
      </c>
      <c r="G118" s="8" t="n">
        <v>9</v>
      </c>
      <c r="H118" s="9">
        <f>IF(F118=0,"",G118/F118)</f>
        <v/>
      </c>
    </row>
    <row r="119">
      <c r="A119" s="10" t="inlineStr">
        <is>
          <t>Simulado 01</t>
        </is>
      </c>
      <c r="B119" s="11" t="n">
        <v>6</v>
      </c>
      <c r="C119" s="11" t="inlineStr">
        <is>
          <t>11ª Fase</t>
        </is>
      </c>
      <c r="D119" s="11" t="inlineStr">
        <is>
          <t>C</t>
        </is>
      </c>
      <c r="E119" s="11" t="inlineStr">
        <is>
          <t>Não</t>
        </is>
      </c>
      <c r="F119" s="11" t="n">
        <v>27</v>
      </c>
      <c r="G119" s="11" t="n">
        <v>10</v>
      </c>
      <c r="H119" s="12">
        <f>IF(F119=0,"",G119/F119)</f>
        <v/>
      </c>
    </row>
    <row r="120">
      <c r="A120" s="7" t="inlineStr">
        <is>
          <t>Simulado 01</t>
        </is>
      </c>
      <c r="B120" s="8" t="n">
        <v>6</v>
      </c>
      <c r="C120" s="8" t="inlineStr">
        <is>
          <t>11ª Fase</t>
        </is>
      </c>
      <c r="D120" s="8" t="inlineStr">
        <is>
          <t>D</t>
        </is>
      </c>
      <c r="E120" s="8" t="inlineStr">
        <is>
          <t>Não</t>
        </is>
      </c>
      <c r="F120" s="8" t="n">
        <v>27</v>
      </c>
      <c r="G120" s="8" t="n">
        <v>4</v>
      </c>
      <c r="H120" s="9">
        <f>IF(F120=0,"",G120/F120)</f>
        <v/>
      </c>
    </row>
    <row r="121">
      <c r="A121" s="10" t="inlineStr">
        <is>
          <t>Simulado 01</t>
        </is>
      </c>
      <c r="B121" s="11" t="n">
        <v>6</v>
      </c>
      <c r="C121" s="11" t="inlineStr">
        <is>
          <t>11ª Fase</t>
        </is>
      </c>
      <c r="D121" s="11" t="inlineStr">
        <is>
          <t>E</t>
        </is>
      </c>
      <c r="E121" s="11" t="inlineStr">
        <is>
          <t>Não</t>
        </is>
      </c>
      <c r="F121" s="11" t="n">
        <v>27</v>
      </c>
      <c r="G121" s="11" t="n">
        <v>4</v>
      </c>
      <c r="H121" s="12">
        <f>IF(F121=0,"",G121/F121)</f>
        <v/>
      </c>
    </row>
    <row r="122">
      <c r="A122" s="7" t="inlineStr">
        <is>
          <t>Simulado 01</t>
        </is>
      </c>
      <c r="B122" s="8" t="n">
        <v>7</v>
      </c>
      <c r="C122" s="8" t="inlineStr">
        <is>
          <t>6ª Fase</t>
        </is>
      </c>
      <c r="D122" s="8" t="inlineStr">
        <is>
          <t>A</t>
        </is>
      </c>
      <c r="E122" s="8" t="inlineStr">
        <is>
          <t>Não</t>
        </is>
      </c>
      <c r="F122" s="8" t="n">
        <v>27</v>
      </c>
      <c r="G122" s="8" t="n">
        <v>2</v>
      </c>
      <c r="H122" s="9">
        <f>IF(F122=0,"",G122/F122)</f>
        <v/>
      </c>
    </row>
    <row r="123">
      <c r="A123" s="10" t="inlineStr">
        <is>
          <t>Simulado 01</t>
        </is>
      </c>
      <c r="B123" s="11" t="n">
        <v>7</v>
      </c>
      <c r="C123" s="11" t="inlineStr">
        <is>
          <t>6ª Fase</t>
        </is>
      </c>
      <c r="D123" s="11" t="inlineStr">
        <is>
          <t>B</t>
        </is>
      </c>
      <c r="E123" s="11" t="inlineStr">
        <is>
          <t>Não</t>
        </is>
      </c>
      <c r="F123" s="11" t="n">
        <v>27</v>
      </c>
      <c r="G123" s="11" t="n">
        <v>2</v>
      </c>
      <c r="H123" s="12">
        <f>IF(F123=0,"",G123/F123)</f>
        <v/>
      </c>
    </row>
    <row r="124">
      <c r="A124" s="7" t="inlineStr">
        <is>
          <t>Simulado 01</t>
        </is>
      </c>
      <c r="B124" s="8" t="n">
        <v>7</v>
      </c>
      <c r="C124" s="8" t="inlineStr">
        <is>
          <t>6ª Fase</t>
        </is>
      </c>
      <c r="D124" s="8" t="inlineStr">
        <is>
          <t>C</t>
        </is>
      </c>
      <c r="E124" s="8" t="inlineStr">
        <is>
          <t>Não</t>
        </is>
      </c>
      <c r="F124" s="8" t="n">
        <v>27</v>
      </c>
      <c r="G124" s="8" t="n">
        <v>1</v>
      </c>
      <c r="H124" s="9">
        <f>IF(F124=0,"",G124/F124)</f>
        <v/>
      </c>
    </row>
    <row r="125">
      <c r="A125" s="10" t="inlineStr">
        <is>
          <t>Simulado 01</t>
        </is>
      </c>
      <c r="B125" s="11" t="n">
        <v>7</v>
      </c>
      <c r="C125" s="11" t="inlineStr">
        <is>
          <t>6ª Fase</t>
        </is>
      </c>
      <c r="D125" s="11" t="inlineStr">
        <is>
          <t>D</t>
        </is>
      </c>
      <c r="E125" s="11" t="inlineStr">
        <is>
          <t>Sim</t>
        </is>
      </c>
      <c r="F125" s="11" t="n">
        <v>27</v>
      </c>
      <c r="G125" s="11" t="n">
        <v>8</v>
      </c>
      <c r="H125" s="12">
        <f>IF(F125=0,"",G125/F125)</f>
        <v/>
      </c>
    </row>
    <row r="126">
      <c r="A126" s="7" t="inlineStr">
        <is>
          <t>Simulado 01</t>
        </is>
      </c>
      <c r="B126" s="8" t="n">
        <v>7</v>
      </c>
      <c r="C126" s="8" t="inlineStr">
        <is>
          <t>6ª Fase</t>
        </is>
      </c>
      <c r="D126" s="8" t="inlineStr">
        <is>
          <t>E</t>
        </is>
      </c>
      <c r="E126" s="8" t="inlineStr">
        <is>
          <t>Não</t>
        </is>
      </c>
      <c r="F126" s="8" t="n">
        <v>27</v>
      </c>
      <c r="G126" s="8" t="n">
        <v>14</v>
      </c>
      <c r="H126" s="9">
        <f>IF(F126=0,"",G126/F126)</f>
        <v/>
      </c>
    </row>
    <row r="127">
      <c r="A127" s="10" t="inlineStr">
        <is>
          <t>Simulado 01</t>
        </is>
      </c>
      <c r="B127" s="11" t="n">
        <v>7</v>
      </c>
      <c r="C127" s="11" t="inlineStr">
        <is>
          <t>7ª Fase</t>
        </is>
      </c>
      <c r="D127" s="11" t="inlineStr">
        <is>
          <t>A</t>
        </is>
      </c>
      <c r="E127" s="11" t="inlineStr">
        <is>
          <t>Não</t>
        </is>
      </c>
      <c r="F127" s="11" t="n">
        <v>33</v>
      </c>
      <c r="G127" s="11" t="n">
        <v>5</v>
      </c>
      <c r="H127" s="12">
        <f>IF(F127=0,"",G127/F127)</f>
        <v/>
      </c>
    </row>
    <row r="128">
      <c r="A128" s="7" t="inlineStr">
        <is>
          <t>Simulado 01</t>
        </is>
      </c>
      <c r="B128" s="8" t="n">
        <v>7</v>
      </c>
      <c r="C128" s="8" t="inlineStr">
        <is>
          <t>7ª Fase</t>
        </is>
      </c>
      <c r="D128" s="8" t="inlineStr">
        <is>
          <t>B</t>
        </is>
      </c>
      <c r="E128" s="8" t="inlineStr">
        <is>
          <t>Não</t>
        </is>
      </c>
      <c r="F128" s="8" t="n">
        <v>33</v>
      </c>
      <c r="G128" s="8" t="n">
        <v>2</v>
      </c>
      <c r="H128" s="9">
        <f>IF(F128=0,"",G128/F128)</f>
        <v/>
      </c>
    </row>
    <row r="129">
      <c r="A129" s="10" t="inlineStr">
        <is>
          <t>Simulado 01</t>
        </is>
      </c>
      <c r="B129" s="11" t="n">
        <v>7</v>
      </c>
      <c r="C129" s="11" t="inlineStr">
        <is>
          <t>7ª Fase</t>
        </is>
      </c>
      <c r="D129" s="11" t="inlineStr">
        <is>
          <t>C</t>
        </is>
      </c>
      <c r="E129" s="11" t="inlineStr">
        <is>
          <t>Não</t>
        </is>
      </c>
      <c r="F129" s="11" t="n">
        <v>33</v>
      </c>
      <c r="G129" s="11" t="n">
        <v>0</v>
      </c>
      <c r="H129" s="12">
        <f>IF(F129=0,"",G129/F129)</f>
        <v/>
      </c>
    </row>
    <row r="130">
      <c r="A130" s="7" t="inlineStr">
        <is>
          <t>Simulado 01</t>
        </is>
      </c>
      <c r="B130" s="8" t="n">
        <v>7</v>
      </c>
      <c r="C130" s="8" t="inlineStr">
        <is>
          <t>7ª Fase</t>
        </is>
      </c>
      <c r="D130" s="8" t="inlineStr">
        <is>
          <t>D</t>
        </is>
      </c>
      <c r="E130" s="8" t="inlineStr">
        <is>
          <t>Sim</t>
        </is>
      </c>
      <c r="F130" s="8" t="n">
        <v>33</v>
      </c>
      <c r="G130" s="8" t="n">
        <v>8</v>
      </c>
      <c r="H130" s="9">
        <f>IF(F130=0,"",G130/F130)</f>
        <v/>
      </c>
    </row>
    <row r="131">
      <c r="A131" s="10" t="inlineStr">
        <is>
          <t>Simulado 01</t>
        </is>
      </c>
      <c r="B131" s="11" t="n">
        <v>7</v>
      </c>
      <c r="C131" s="11" t="inlineStr">
        <is>
          <t>7ª Fase</t>
        </is>
      </c>
      <c r="D131" s="11" t="inlineStr">
        <is>
          <t>E</t>
        </is>
      </c>
      <c r="E131" s="11" t="inlineStr">
        <is>
          <t>Não</t>
        </is>
      </c>
      <c r="F131" s="11" t="n">
        <v>33</v>
      </c>
      <c r="G131" s="11" t="n">
        <v>18</v>
      </c>
      <c r="H131" s="12">
        <f>IF(F131=0,"",G131/F131)</f>
        <v/>
      </c>
    </row>
    <row r="132">
      <c r="A132" s="7" t="inlineStr">
        <is>
          <t>Simulado 01</t>
        </is>
      </c>
      <c r="B132" s="8" t="n">
        <v>7</v>
      </c>
      <c r="C132" s="8" t="inlineStr">
        <is>
          <t>10ª Fase</t>
        </is>
      </c>
      <c r="D132" s="8" t="inlineStr">
        <is>
          <t>A</t>
        </is>
      </c>
      <c r="E132" s="8" t="inlineStr">
        <is>
          <t>Não</t>
        </is>
      </c>
      <c r="F132" s="8" t="n">
        <v>31</v>
      </c>
      <c r="G132" s="8" t="n">
        <v>3</v>
      </c>
      <c r="H132" s="9">
        <f>IF(F132=0,"",G132/F132)</f>
        <v/>
      </c>
    </row>
    <row r="133">
      <c r="A133" s="10" t="inlineStr">
        <is>
          <t>Simulado 01</t>
        </is>
      </c>
      <c r="B133" s="11" t="n">
        <v>7</v>
      </c>
      <c r="C133" s="11" t="inlineStr">
        <is>
          <t>10ª Fase</t>
        </is>
      </c>
      <c r="D133" s="11" t="inlineStr">
        <is>
          <t>B</t>
        </is>
      </c>
      <c r="E133" s="11" t="inlineStr">
        <is>
          <t>Não</t>
        </is>
      </c>
      <c r="F133" s="11" t="n">
        <v>31</v>
      </c>
      <c r="G133" s="11" t="n">
        <v>0</v>
      </c>
      <c r="H133" s="12">
        <f>IF(F133=0,"",G133/F133)</f>
        <v/>
      </c>
    </row>
    <row r="134">
      <c r="A134" s="7" t="inlineStr">
        <is>
          <t>Simulado 01</t>
        </is>
      </c>
      <c r="B134" s="8" t="n">
        <v>7</v>
      </c>
      <c r="C134" s="8" t="inlineStr">
        <is>
          <t>10ª Fase</t>
        </is>
      </c>
      <c r="D134" s="8" t="inlineStr">
        <is>
          <t>C</t>
        </is>
      </c>
      <c r="E134" s="8" t="inlineStr">
        <is>
          <t>Não</t>
        </is>
      </c>
      <c r="F134" s="8" t="n">
        <v>31</v>
      </c>
      <c r="G134" s="8" t="n">
        <v>0</v>
      </c>
      <c r="H134" s="9">
        <f>IF(F134=0,"",G134/F134)</f>
        <v/>
      </c>
    </row>
    <row r="135">
      <c r="A135" s="10" t="inlineStr">
        <is>
          <t>Simulado 01</t>
        </is>
      </c>
      <c r="B135" s="11" t="n">
        <v>7</v>
      </c>
      <c r="C135" s="11" t="inlineStr">
        <is>
          <t>10ª Fase</t>
        </is>
      </c>
      <c r="D135" s="11" t="inlineStr">
        <is>
          <t>D</t>
        </is>
      </c>
      <c r="E135" s="11" t="inlineStr">
        <is>
          <t>Sim</t>
        </is>
      </c>
      <c r="F135" s="11" t="n">
        <v>31</v>
      </c>
      <c r="G135" s="11" t="n">
        <v>7</v>
      </c>
      <c r="H135" s="12">
        <f>IF(F135=0,"",G135/F135)</f>
        <v/>
      </c>
    </row>
    <row r="136">
      <c r="A136" s="7" t="inlineStr">
        <is>
          <t>Simulado 01</t>
        </is>
      </c>
      <c r="B136" s="8" t="n">
        <v>7</v>
      </c>
      <c r="C136" s="8" t="inlineStr">
        <is>
          <t>10ª Fase</t>
        </is>
      </c>
      <c r="D136" s="8" t="inlineStr">
        <is>
          <t>E</t>
        </is>
      </c>
      <c r="E136" s="8" t="inlineStr">
        <is>
          <t>Não</t>
        </is>
      </c>
      <c r="F136" s="8" t="n">
        <v>31</v>
      </c>
      <c r="G136" s="8" t="n">
        <v>21</v>
      </c>
      <c r="H136" s="9">
        <f>IF(F136=0,"",G136/F136)</f>
        <v/>
      </c>
    </row>
    <row r="137">
      <c r="A137" s="10" t="inlineStr">
        <is>
          <t>Simulado 01</t>
        </is>
      </c>
      <c r="B137" s="11" t="n">
        <v>7</v>
      </c>
      <c r="C137" s="11" t="inlineStr">
        <is>
          <t>11ª Fase</t>
        </is>
      </c>
      <c r="D137" s="11" t="inlineStr">
        <is>
          <t>A</t>
        </is>
      </c>
      <c r="E137" s="11" t="inlineStr">
        <is>
          <t>Não</t>
        </is>
      </c>
      <c r="F137" s="11" t="n">
        <v>27</v>
      </c>
      <c r="G137" s="11" t="n">
        <v>3</v>
      </c>
      <c r="H137" s="12">
        <f>IF(F137=0,"",G137/F137)</f>
        <v/>
      </c>
    </row>
    <row r="138">
      <c r="A138" s="7" t="inlineStr">
        <is>
          <t>Simulado 01</t>
        </is>
      </c>
      <c r="B138" s="8" t="n">
        <v>7</v>
      </c>
      <c r="C138" s="8" t="inlineStr">
        <is>
          <t>11ª Fase</t>
        </is>
      </c>
      <c r="D138" s="8" t="inlineStr">
        <is>
          <t>B</t>
        </is>
      </c>
      <c r="E138" s="8" t="inlineStr">
        <is>
          <t>Não</t>
        </is>
      </c>
      <c r="F138" s="8" t="n">
        <v>27</v>
      </c>
      <c r="G138" s="8" t="n">
        <v>0</v>
      </c>
      <c r="H138" s="9">
        <f>IF(F138=0,"",G138/F138)</f>
        <v/>
      </c>
    </row>
    <row r="139">
      <c r="A139" s="10" t="inlineStr">
        <is>
          <t>Simulado 01</t>
        </is>
      </c>
      <c r="B139" s="11" t="n">
        <v>7</v>
      </c>
      <c r="C139" s="11" t="inlineStr">
        <is>
          <t>11ª Fase</t>
        </is>
      </c>
      <c r="D139" s="11" t="inlineStr">
        <is>
          <t>C</t>
        </is>
      </c>
      <c r="E139" s="11" t="inlineStr">
        <is>
          <t>Não</t>
        </is>
      </c>
      <c r="F139" s="11" t="n">
        <v>27</v>
      </c>
      <c r="G139" s="11" t="n">
        <v>1</v>
      </c>
      <c r="H139" s="12">
        <f>IF(F139=0,"",G139/F139)</f>
        <v/>
      </c>
    </row>
    <row r="140">
      <c r="A140" s="7" t="inlineStr">
        <is>
          <t>Simulado 01</t>
        </is>
      </c>
      <c r="B140" s="8" t="n">
        <v>7</v>
      </c>
      <c r="C140" s="8" t="inlineStr">
        <is>
          <t>11ª Fase</t>
        </is>
      </c>
      <c r="D140" s="8" t="inlineStr">
        <is>
          <t>D</t>
        </is>
      </c>
      <c r="E140" s="8" t="inlineStr">
        <is>
          <t>Sim</t>
        </is>
      </c>
      <c r="F140" s="8" t="n">
        <v>27</v>
      </c>
      <c r="G140" s="8" t="n">
        <v>12</v>
      </c>
      <c r="H140" s="9">
        <f>IF(F140=0,"",G140/F140)</f>
        <v/>
      </c>
    </row>
    <row r="141">
      <c r="A141" s="10" t="inlineStr">
        <is>
          <t>Simulado 01</t>
        </is>
      </c>
      <c r="B141" s="11" t="n">
        <v>7</v>
      </c>
      <c r="C141" s="11" t="inlineStr">
        <is>
          <t>11ª Fase</t>
        </is>
      </c>
      <c r="D141" s="11" t="inlineStr">
        <is>
          <t>E</t>
        </is>
      </c>
      <c r="E141" s="11" t="inlineStr">
        <is>
          <t>Não</t>
        </is>
      </c>
      <c r="F141" s="11" t="n">
        <v>27</v>
      </c>
      <c r="G141" s="11" t="n">
        <v>11</v>
      </c>
      <c r="H141" s="12">
        <f>IF(F141=0,"",G141/F141)</f>
        <v/>
      </c>
    </row>
    <row r="142">
      <c r="A142" s="7" t="inlineStr">
        <is>
          <t>Simulado 01</t>
        </is>
      </c>
      <c r="B142" s="8" t="n">
        <v>8</v>
      </c>
      <c r="C142" s="8" t="inlineStr">
        <is>
          <t>6ª Fase</t>
        </is>
      </c>
      <c r="D142" s="8" t="inlineStr">
        <is>
          <t>A</t>
        </is>
      </c>
      <c r="E142" s="8" t="inlineStr">
        <is>
          <t>Não</t>
        </is>
      </c>
      <c r="F142" s="8" t="n">
        <v>27</v>
      </c>
      <c r="G142" s="8" t="n">
        <v>3</v>
      </c>
      <c r="H142" s="9">
        <f>IF(F142=0,"",G142/F142)</f>
        <v/>
      </c>
    </row>
    <row r="143">
      <c r="A143" s="10" t="inlineStr">
        <is>
          <t>Simulado 01</t>
        </is>
      </c>
      <c r="B143" s="11" t="n">
        <v>8</v>
      </c>
      <c r="C143" s="11" t="inlineStr">
        <is>
          <t>6ª Fase</t>
        </is>
      </c>
      <c r="D143" s="11" t="inlineStr">
        <is>
          <t>B</t>
        </is>
      </c>
      <c r="E143" s="11" t="inlineStr">
        <is>
          <t>Não</t>
        </is>
      </c>
      <c r="F143" s="11" t="n">
        <v>27</v>
      </c>
      <c r="G143" s="11" t="n">
        <v>10</v>
      </c>
      <c r="H143" s="12">
        <f>IF(F143=0,"",G143/F143)</f>
        <v/>
      </c>
    </row>
    <row r="144">
      <c r="A144" s="7" t="inlineStr">
        <is>
          <t>Simulado 01</t>
        </is>
      </c>
      <c r="B144" s="8" t="n">
        <v>8</v>
      </c>
      <c r="C144" s="8" t="inlineStr">
        <is>
          <t>6ª Fase</t>
        </is>
      </c>
      <c r="D144" s="8" t="inlineStr">
        <is>
          <t>C</t>
        </is>
      </c>
      <c r="E144" s="8" t="inlineStr">
        <is>
          <t>Não</t>
        </is>
      </c>
      <c r="F144" s="8" t="n">
        <v>27</v>
      </c>
      <c r="G144" s="8" t="n">
        <v>2</v>
      </c>
      <c r="H144" s="9">
        <f>IF(F144=0,"",G144/F144)</f>
        <v/>
      </c>
    </row>
    <row r="145">
      <c r="A145" s="10" t="inlineStr">
        <is>
          <t>Simulado 01</t>
        </is>
      </c>
      <c r="B145" s="11" t="n">
        <v>8</v>
      </c>
      <c r="C145" s="11" t="inlineStr">
        <is>
          <t>6ª Fase</t>
        </is>
      </c>
      <c r="D145" s="11" t="inlineStr">
        <is>
          <t>D</t>
        </is>
      </c>
      <c r="E145" s="11" t="inlineStr">
        <is>
          <t>Não</t>
        </is>
      </c>
      <c r="F145" s="11" t="n">
        <v>27</v>
      </c>
      <c r="G145" s="11" t="n">
        <v>8</v>
      </c>
      <c r="H145" s="12">
        <f>IF(F145=0,"",G145/F145)</f>
        <v/>
      </c>
    </row>
    <row r="146">
      <c r="A146" s="7" t="inlineStr">
        <is>
          <t>Simulado 01</t>
        </is>
      </c>
      <c r="B146" s="8" t="n">
        <v>8</v>
      </c>
      <c r="C146" s="8" t="inlineStr">
        <is>
          <t>6ª Fase</t>
        </is>
      </c>
      <c r="D146" s="8" t="inlineStr">
        <is>
          <t>E</t>
        </is>
      </c>
      <c r="E146" s="8" t="inlineStr">
        <is>
          <t>Sim</t>
        </is>
      </c>
      <c r="F146" s="8" t="n">
        <v>27</v>
      </c>
      <c r="G146" s="8" t="n">
        <v>4</v>
      </c>
      <c r="H146" s="9">
        <f>IF(F146=0,"",G146/F146)</f>
        <v/>
      </c>
    </row>
    <row r="147">
      <c r="A147" s="10" t="inlineStr">
        <is>
          <t>Simulado 01</t>
        </is>
      </c>
      <c r="B147" s="11" t="n">
        <v>8</v>
      </c>
      <c r="C147" s="11" t="inlineStr">
        <is>
          <t>7ª Fase</t>
        </is>
      </c>
      <c r="D147" s="11" t="inlineStr">
        <is>
          <t>A</t>
        </is>
      </c>
      <c r="E147" s="11" t="inlineStr">
        <is>
          <t>Não</t>
        </is>
      </c>
      <c r="F147" s="11" t="n">
        <v>33</v>
      </c>
      <c r="G147" s="11" t="n">
        <v>0</v>
      </c>
      <c r="H147" s="12">
        <f>IF(F147=0,"",G147/F147)</f>
        <v/>
      </c>
    </row>
    <row r="148">
      <c r="A148" s="7" t="inlineStr">
        <is>
          <t>Simulado 01</t>
        </is>
      </c>
      <c r="B148" s="8" t="n">
        <v>8</v>
      </c>
      <c r="C148" s="8" t="inlineStr">
        <is>
          <t>7ª Fase</t>
        </is>
      </c>
      <c r="D148" s="8" t="inlineStr">
        <is>
          <t>B</t>
        </is>
      </c>
      <c r="E148" s="8" t="inlineStr">
        <is>
          <t>Não</t>
        </is>
      </c>
      <c r="F148" s="8" t="n">
        <v>33</v>
      </c>
      <c r="G148" s="8" t="n">
        <v>21</v>
      </c>
      <c r="H148" s="9">
        <f>IF(F148=0,"",G148/F148)</f>
        <v/>
      </c>
    </row>
    <row r="149">
      <c r="A149" s="10" t="inlineStr">
        <is>
          <t>Simulado 01</t>
        </is>
      </c>
      <c r="B149" s="11" t="n">
        <v>8</v>
      </c>
      <c r="C149" s="11" t="inlineStr">
        <is>
          <t>7ª Fase</t>
        </is>
      </c>
      <c r="D149" s="11" t="inlineStr">
        <is>
          <t>C</t>
        </is>
      </c>
      <c r="E149" s="11" t="inlineStr">
        <is>
          <t>Não</t>
        </is>
      </c>
      <c r="F149" s="11" t="n">
        <v>33</v>
      </c>
      <c r="G149" s="11" t="n">
        <v>5</v>
      </c>
      <c r="H149" s="12">
        <f>IF(F149=0,"",G149/F149)</f>
        <v/>
      </c>
    </row>
    <row r="150">
      <c r="A150" s="7" t="inlineStr">
        <is>
          <t>Simulado 01</t>
        </is>
      </c>
      <c r="B150" s="8" t="n">
        <v>8</v>
      </c>
      <c r="C150" s="8" t="inlineStr">
        <is>
          <t>7ª Fase</t>
        </is>
      </c>
      <c r="D150" s="8" t="inlineStr">
        <is>
          <t>D</t>
        </is>
      </c>
      <c r="E150" s="8" t="inlineStr">
        <is>
          <t>Não</t>
        </is>
      </c>
      <c r="F150" s="8" t="n">
        <v>33</v>
      </c>
      <c r="G150" s="8" t="n">
        <v>6</v>
      </c>
      <c r="H150" s="9">
        <f>IF(F150=0,"",G150/F150)</f>
        <v/>
      </c>
    </row>
    <row r="151">
      <c r="A151" s="10" t="inlineStr">
        <is>
          <t>Simulado 01</t>
        </is>
      </c>
      <c r="B151" s="11" t="n">
        <v>8</v>
      </c>
      <c r="C151" s="11" t="inlineStr">
        <is>
          <t>7ª Fase</t>
        </is>
      </c>
      <c r="D151" s="11" t="inlineStr">
        <is>
          <t>E</t>
        </is>
      </c>
      <c r="E151" s="11" t="inlineStr">
        <is>
          <t>Sim</t>
        </is>
      </c>
      <c r="F151" s="11" t="n">
        <v>33</v>
      </c>
      <c r="G151" s="11" t="n">
        <v>1</v>
      </c>
      <c r="H151" s="12">
        <f>IF(F151=0,"",G151/F151)</f>
        <v/>
      </c>
    </row>
    <row r="152">
      <c r="A152" s="7" t="inlineStr">
        <is>
          <t>Simulado 01</t>
        </is>
      </c>
      <c r="B152" s="8" t="n">
        <v>8</v>
      </c>
      <c r="C152" s="8" t="inlineStr">
        <is>
          <t>10ª Fase</t>
        </is>
      </c>
      <c r="D152" s="8" t="inlineStr">
        <is>
          <t>A</t>
        </is>
      </c>
      <c r="E152" s="8" t="inlineStr">
        <is>
          <t>Não</t>
        </is>
      </c>
      <c r="F152" s="8" t="n">
        <v>31</v>
      </c>
      <c r="G152" s="8" t="n">
        <v>0</v>
      </c>
      <c r="H152" s="9">
        <f>IF(F152=0,"",G152/F152)</f>
        <v/>
      </c>
    </row>
    <row r="153">
      <c r="A153" s="10" t="inlineStr">
        <is>
          <t>Simulado 01</t>
        </is>
      </c>
      <c r="B153" s="11" t="n">
        <v>8</v>
      </c>
      <c r="C153" s="11" t="inlineStr">
        <is>
          <t>10ª Fase</t>
        </is>
      </c>
      <c r="D153" s="11" t="inlineStr">
        <is>
          <t>B</t>
        </is>
      </c>
      <c r="E153" s="11" t="inlineStr">
        <is>
          <t>Não</t>
        </is>
      </c>
      <c r="F153" s="11" t="n">
        <v>31</v>
      </c>
      <c r="G153" s="11" t="n">
        <v>21</v>
      </c>
      <c r="H153" s="12">
        <f>IF(F153=0,"",G153/F153)</f>
        <v/>
      </c>
    </row>
    <row r="154">
      <c r="A154" s="7" t="inlineStr">
        <is>
          <t>Simulado 01</t>
        </is>
      </c>
      <c r="B154" s="8" t="n">
        <v>8</v>
      </c>
      <c r="C154" s="8" t="inlineStr">
        <is>
          <t>10ª Fase</t>
        </is>
      </c>
      <c r="D154" s="8" t="inlineStr">
        <is>
          <t>C</t>
        </is>
      </c>
      <c r="E154" s="8" t="inlineStr">
        <is>
          <t>Não</t>
        </is>
      </c>
      <c r="F154" s="8" t="n">
        <v>31</v>
      </c>
      <c r="G154" s="8" t="n">
        <v>2</v>
      </c>
      <c r="H154" s="9">
        <f>IF(F154=0,"",G154/F154)</f>
        <v/>
      </c>
    </row>
    <row r="155">
      <c r="A155" s="10" t="inlineStr">
        <is>
          <t>Simulado 01</t>
        </is>
      </c>
      <c r="B155" s="11" t="n">
        <v>8</v>
      </c>
      <c r="C155" s="11" t="inlineStr">
        <is>
          <t>10ª Fase</t>
        </is>
      </c>
      <c r="D155" s="11" t="inlineStr">
        <is>
          <t>D</t>
        </is>
      </c>
      <c r="E155" s="11" t="inlineStr">
        <is>
          <t>Não</t>
        </is>
      </c>
      <c r="F155" s="11" t="n">
        <v>31</v>
      </c>
      <c r="G155" s="11" t="n">
        <v>7</v>
      </c>
      <c r="H155" s="12">
        <f>IF(F155=0,"",G155/F155)</f>
        <v/>
      </c>
    </row>
    <row r="156">
      <c r="A156" s="7" t="inlineStr">
        <is>
          <t>Simulado 01</t>
        </is>
      </c>
      <c r="B156" s="8" t="n">
        <v>8</v>
      </c>
      <c r="C156" s="8" t="inlineStr">
        <is>
          <t>10ª Fase</t>
        </is>
      </c>
      <c r="D156" s="8" t="inlineStr">
        <is>
          <t>E</t>
        </is>
      </c>
      <c r="E156" s="8" t="inlineStr">
        <is>
          <t>Sim</t>
        </is>
      </c>
      <c r="F156" s="8" t="n">
        <v>31</v>
      </c>
      <c r="G156" s="8" t="n">
        <v>1</v>
      </c>
      <c r="H156" s="9">
        <f>IF(F156=0,"",G156/F156)</f>
        <v/>
      </c>
    </row>
    <row r="157">
      <c r="A157" s="10" t="inlineStr">
        <is>
          <t>Simulado 01</t>
        </is>
      </c>
      <c r="B157" s="11" t="n">
        <v>8</v>
      </c>
      <c r="C157" s="11" t="inlineStr">
        <is>
          <t>11ª Fase</t>
        </is>
      </c>
      <c r="D157" s="11" t="inlineStr">
        <is>
          <t>A</t>
        </is>
      </c>
      <c r="E157" s="11" t="inlineStr">
        <is>
          <t>Não</t>
        </is>
      </c>
      <c r="F157" s="11" t="n">
        <v>27</v>
      </c>
      <c r="G157" s="11" t="n">
        <v>0</v>
      </c>
      <c r="H157" s="12">
        <f>IF(F157=0,"",G157/F157)</f>
        <v/>
      </c>
    </row>
    <row r="158">
      <c r="A158" s="7" t="inlineStr">
        <is>
          <t>Simulado 01</t>
        </is>
      </c>
      <c r="B158" s="8" t="n">
        <v>8</v>
      </c>
      <c r="C158" s="8" t="inlineStr">
        <is>
          <t>11ª Fase</t>
        </is>
      </c>
      <c r="D158" s="8" t="inlineStr">
        <is>
          <t>B</t>
        </is>
      </c>
      <c r="E158" s="8" t="inlineStr">
        <is>
          <t>Não</t>
        </is>
      </c>
      <c r="F158" s="8" t="n">
        <v>27</v>
      </c>
      <c r="G158" s="8" t="n">
        <v>22</v>
      </c>
      <c r="H158" s="9">
        <f>IF(F158=0,"",G158/F158)</f>
        <v/>
      </c>
    </row>
    <row r="159">
      <c r="A159" s="10" t="inlineStr">
        <is>
          <t>Simulado 01</t>
        </is>
      </c>
      <c r="B159" s="11" t="n">
        <v>8</v>
      </c>
      <c r="C159" s="11" t="inlineStr">
        <is>
          <t>11ª Fase</t>
        </is>
      </c>
      <c r="D159" s="11" t="inlineStr">
        <is>
          <t>C</t>
        </is>
      </c>
      <c r="E159" s="11" t="inlineStr">
        <is>
          <t>Não</t>
        </is>
      </c>
      <c r="F159" s="11" t="n">
        <v>27</v>
      </c>
      <c r="G159" s="11" t="n">
        <v>3</v>
      </c>
      <c r="H159" s="12">
        <f>IF(F159=0,"",G159/F159)</f>
        <v/>
      </c>
    </row>
    <row r="160">
      <c r="A160" s="7" t="inlineStr">
        <is>
          <t>Simulado 01</t>
        </is>
      </c>
      <c r="B160" s="8" t="n">
        <v>8</v>
      </c>
      <c r="C160" s="8" t="inlineStr">
        <is>
          <t>11ª Fase</t>
        </is>
      </c>
      <c r="D160" s="8" t="inlineStr">
        <is>
          <t>D</t>
        </is>
      </c>
      <c r="E160" s="8" t="inlineStr">
        <is>
          <t>Não</t>
        </is>
      </c>
      <c r="F160" s="8" t="n">
        <v>27</v>
      </c>
      <c r="G160" s="8" t="n">
        <v>2</v>
      </c>
      <c r="H160" s="9">
        <f>IF(F160=0,"",G160/F160)</f>
        <v/>
      </c>
    </row>
    <row r="161">
      <c r="A161" s="10" t="inlineStr">
        <is>
          <t>Simulado 01</t>
        </is>
      </c>
      <c r="B161" s="11" t="n">
        <v>8</v>
      </c>
      <c r="C161" s="11" t="inlineStr">
        <is>
          <t>11ª Fase</t>
        </is>
      </c>
      <c r="D161" s="11" t="inlineStr">
        <is>
          <t>E</t>
        </is>
      </c>
      <c r="E161" s="11" t="inlineStr">
        <is>
          <t>Sim</t>
        </is>
      </c>
      <c r="F161" s="11" t="n">
        <v>27</v>
      </c>
      <c r="G161" s="11" t="n">
        <v>0</v>
      </c>
      <c r="H161" s="12">
        <f>IF(F161=0,"",G161/F161)</f>
        <v/>
      </c>
    </row>
    <row r="162">
      <c r="A162" s="7" t="inlineStr">
        <is>
          <t>Simulado 01</t>
        </is>
      </c>
      <c r="B162" s="8" t="n">
        <v>9</v>
      </c>
      <c r="C162" s="8" t="inlineStr">
        <is>
          <t>6ª Fase</t>
        </is>
      </c>
      <c r="D162" s="8" t="inlineStr">
        <is>
          <t>A</t>
        </is>
      </c>
      <c r="E162" s="8" t="inlineStr">
        <is>
          <t>Não</t>
        </is>
      </c>
      <c r="F162" s="8" t="n">
        <v>27</v>
      </c>
      <c r="G162" s="8" t="n">
        <v>1</v>
      </c>
      <c r="H162" s="9">
        <f>IF(F162=0,"",G162/F162)</f>
        <v/>
      </c>
    </row>
    <row r="163">
      <c r="A163" s="10" t="inlineStr">
        <is>
          <t>Simulado 01</t>
        </is>
      </c>
      <c r="B163" s="11" t="n">
        <v>9</v>
      </c>
      <c r="C163" s="11" t="inlineStr">
        <is>
          <t>6ª Fase</t>
        </is>
      </c>
      <c r="D163" s="11" t="inlineStr">
        <is>
          <t>B</t>
        </is>
      </c>
      <c r="E163" s="11" t="inlineStr">
        <is>
          <t>Não</t>
        </is>
      </c>
      <c r="F163" s="11" t="n">
        <v>27</v>
      </c>
      <c r="G163" s="11" t="n">
        <v>0</v>
      </c>
      <c r="H163" s="12">
        <f>IF(F163=0,"",G163/F163)</f>
        <v/>
      </c>
    </row>
    <row r="164">
      <c r="A164" s="7" t="inlineStr">
        <is>
          <t>Simulado 01</t>
        </is>
      </c>
      <c r="B164" s="8" t="n">
        <v>9</v>
      </c>
      <c r="C164" s="8" t="inlineStr">
        <is>
          <t>6ª Fase</t>
        </is>
      </c>
      <c r="D164" s="8" t="inlineStr">
        <is>
          <t>C</t>
        </is>
      </c>
      <c r="E164" s="8" t="inlineStr">
        <is>
          <t>Não</t>
        </is>
      </c>
      <c r="F164" s="8" t="n">
        <v>27</v>
      </c>
      <c r="G164" s="8" t="n">
        <v>1</v>
      </c>
      <c r="H164" s="9">
        <f>IF(F164=0,"",G164/F164)</f>
        <v/>
      </c>
    </row>
    <row r="165">
      <c r="A165" s="10" t="inlineStr">
        <is>
          <t>Simulado 01</t>
        </is>
      </c>
      <c r="B165" s="11" t="n">
        <v>9</v>
      </c>
      <c r="C165" s="11" t="inlineStr">
        <is>
          <t>6ª Fase</t>
        </is>
      </c>
      <c r="D165" s="11" t="inlineStr">
        <is>
          <t>D</t>
        </is>
      </c>
      <c r="E165" s="11" t="inlineStr">
        <is>
          <t>Não</t>
        </is>
      </c>
      <c r="F165" s="11" t="n">
        <v>27</v>
      </c>
      <c r="G165" s="11" t="n">
        <v>1</v>
      </c>
      <c r="H165" s="12">
        <f>IF(F165=0,"",G165/F165)</f>
        <v/>
      </c>
    </row>
    <row r="166">
      <c r="A166" s="7" t="inlineStr">
        <is>
          <t>Simulado 01</t>
        </is>
      </c>
      <c r="B166" s="8" t="n">
        <v>9</v>
      </c>
      <c r="C166" s="8" t="inlineStr">
        <is>
          <t>6ª Fase</t>
        </is>
      </c>
      <c r="D166" s="8" t="inlineStr">
        <is>
          <t>E</t>
        </is>
      </c>
      <c r="E166" s="8" t="inlineStr">
        <is>
          <t>Sim</t>
        </is>
      </c>
      <c r="F166" s="8" t="n">
        <v>27</v>
      </c>
      <c r="G166" s="8" t="n">
        <v>24</v>
      </c>
      <c r="H166" s="9">
        <f>IF(F166=0,"",G166/F166)</f>
        <v/>
      </c>
    </row>
    <row r="167">
      <c r="A167" s="10" t="inlineStr">
        <is>
          <t>Simulado 01</t>
        </is>
      </c>
      <c r="B167" s="11" t="n">
        <v>9</v>
      </c>
      <c r="C167" s="11" t="inlineStr">
        <is>
          <t>7ª Fase</t>
        </is>
      </c>
      <c r="D167" s="11" t="inlineStr">
        <is>
          <t>A</t>
        </is>
      </c>
      <c r="E167" s="11" t="inlineStr">
        <is>
          <t>Não</t>
        </is>
      </c>
      <c r="F167" s="11" t="n">
        <v>33</v>
      </c>
      <c r="G167" s="11" t="n">
        <v>0</v>
      </c>
      <c r="H167" s="12">
        <f>IF(F167=0,"",G167/F167)</f>
        <v/>
      </c>
    </row>
    <row r="168">
      <c r="A168" s="7" t="inlineStr">
        <is>
          <t>Simulado 01</t>
        </is>
      </c>
      <c r="B168" s="8" t="n">
        <v>9</v>
      </c>
      <c r="C168" s="8" t="inlineStr">
        <is>
          <t>7ª Fase</t>
        </is>
      </c>
      <c r="D168" s="8" t="inlineStr">
        <is>
          <t>B</t>
        </is>
      </c>
      <c r="E168" s="8" t="inlineStr">
        <is>
          <t>Não</t>
        </is>
      </c>
      <c r="F168" s="8" t="n">
        <v>33</v>
      </c>
      <c r="G168" s="8" t="n">
        <v>0</v>
      </c>
      <c r="H168" s="9">
        <f>IF(F168=0,"",G168/F168)</f>
        <v/>
      </c>
    </row>
    <row r="169">
      <c r="A169" s="10" t="inlineStr">
        <is>
          <t>Simulado 01</t>
        </is>
      </c>
      <c r="B169" s="11" t="n">
        <v>9</v>
      </c>
      <c r="C169" s="11" t="inlineStr">
        <is>
          <t>7ª Fase</t>
        </is>
      </c>
      <c r="D169" s="11" t="inlineStr">
        <is>
          <t>C</t>
        </is>
      </c>
      <c r="E169" s="11" t="inlineStr">
        <is>
          <t>Não</t>
        </is>
      </c>
      <c r="F169" s="11" t="n">
        <v>33</v>
      </c>
      <c r="G169" s="11" t="n">
        <v>1</v>
      </c>
      <c r="H169" s="12">
        <f>IF(F169=0,"",G169/F169)</f>
        <v/>
      </c>
    </row>
    <row r="170">
      <c r="A170" s="7" t="inlineStr">
        <is>
          <t>Simulado 01</t>
        </is>
      </c>
      <c r="B170" s="8" t="n">
        <v>9</v>
      </c>
      <c r="C170" s="8" t="inlineStr">
        <is>
          <t>7ª Fase</t>
        </is>
      </c>
      <c r="D170" s="8" t="inlineStr">
        <is>
          <t>D</t>
        </is>
      </c>
      <c r="E170" s="8" t="inlineStr">
        <is>
          <t>Não</t>
        </is>
      </c>
      <c r="F170" s="8" t="n">
        <v>33</v>
      </c>
      <c r="G170" s="8" t="n">
        <v>2</v>
      </c>
      <c r="H170" s="9">
        <f>IF(F170=0,"",G170/F170)</f>
        <v/>
      </c>
    </row>
    <row r="171">
      <c r="A171" s="10" t="inlineStr">
        <is>
          <t>Simulado 01</t>
        </is>
      </c>
      <c r="B171" s="11" t="n">
        <v>9</v>
      </c>
      <c r="C171" s="11" t="inlineStr">
        <is>
          <t>7ª Fase</t>
        </is>
      </c>
      <c r="D171" s="11" t="inlineStr">
        <is>
          <t>E</t>
        </is>
      </c>
      <c r="E171" s="11" t="inlineStr">
        <is>
          <t>Sim</t>
        </is>
      </c>
      <c r="F171" s="11" t="n">
        <v>33</v>
      </c>
      <c r="G171" s="11" t="n">
        <v>30</v>
      </c>
      <c r="H171" s="12">
        <f>IF(F171=0,"",G171/F171)</f>
        <v/>
      </c>
    </row>
    <row r="172">
      <c r="A172" s="7" t="inlineStr">
        <is>
          <t>Simulado 01</t>
        </is>
      </c>
      <c r="B172" s="8" t="n">
        <v>9</v>
      </c>
      <c r="C172" s="8" t="inlineStr">
        <is>
          <t>10ª Fase</t>
        </is>
      </c>
      <c r="D172" s="8" t="inlineStr">
        <is>
          <t>A</t>
        </is>
      </c>
      <c r="E172" s="8" t="inlineStr">
        <is>
          <t>Não</t>
        </is>
      </c>
      <c r="F172" s="8" t="n">
        <v>31</v>
      </c>
      <c r="G172" s="8" t="n">
        <v>1</v>
      </c>
      <c r="H172" s="9">
        <f>IF(F172=0,"",G172/F172)</f>
        <v/>
      </c>
    </row>
    <row r="173">
      <c r="A173" s="10" t="inlineStr">
        <is>
          <t>Simulado 01</t>
        </is>
      </c>
      <c r="B173" s="11" t="n">
        <v>9</v>
      </c>
      <c r="C173" s="11" t="inlineStr">
        <is>
          <t>10ª Fase</t>
        </is>
      </c>
      <c r="D173" s="11" t="inlineStr">
        <is>
          <t>B</t>
        </is>
      </c>
      <c r="E173" s="11" t="inlineStr">
        <is>
          <t>Não</t>
        </is>
      </c>
      <c r="F173" s="11" t="n">
        <v>31</v>
      </c>
      <c r="G173" s="11" t="n">
        <v>0</v>
      </c>
      <c r="H173" s="12">
        <f>IF(F173=0,"",G173/F173)</f>
        <v/>
      </c>
    </row>
    <row r="174">
      <c r="A174" s="7" t="inlineStr">
        <is>
          <t>Simulado 01</t>
        </is>
      </c>
      <c r="B174" s="8" t="n">
        <v>9</v>
      </c>
      <c r="C174" s="8" t="inlineStr">
        <is>
          <t>10ª Fase</t>
        </is>
      </c>
      <c r="D174" s="8" t="inlineStr">
        <is>
          <t>C</t>
        </is>
      </c>
      <c r="E174" s="8" t="inlineStr">
        <is>
          <t>Não</t>
        </is>
      </c>
      <c r="F174" s="8" t="n">
        <v>31</v>
      </c>
      <c r="G174" s="8" t="n">
        <v>2</v>
      </c>
      <c r="H174" s="9">
        <f>IF(F174=0,"",G174/F174)</f>
        <v/>
      </c>
    </row>
    <row r="175">
      <c r="A175" s="10" t="inlineStr">
        <is>
          <t>Simulado 01</t>
        </is>
      </c>
      <c r="B175" s="11" t="n">
        <v>9</v>
      </c>
      <c r="C175" s="11" t="inlineStr">
        <is>
          <t>10ª Fase</t>
        </is>
      </c>
      <c r="D175" s="11" t="inlineStr">
        <is>
          <t>D</t>
        </is>
      </c>
      <c r="E175" s="11" t="inlineStr">
        <is>
          <t>Não</t>
        </is>
      </c>
      <c r="F175" s="11" t="n">
        <v>31</v>
      </c>
      <c r="G175" s="11" t="n">
        <v>0</v>
      </c>
      <c r="H175" s="12">
        <f>IF(F175=0,"",G175/F175)</f>
        <v/>
      </c>
    </row>
    <row r="176">
      <c r="A176" s="7" t="inlineStr">
        <is>
          <t>Simulado 01</t>
        </is>
      </c>
      <c r="B176" s="8" t="n">
        <v>9</v>
      </c>
      <c r="C176" s="8" t="inlineStr">
        <is>
          <t>10ª Fase</t>
        </is>
      </c>
      <c r="D176" s="8" t="inlineStr">
        <is>
          <t>E</t>
        </is>
      </c>
      <c r="E176" s="8" t="inlineStr">
        <is>
          <t>Sim</t>
        </is>
      </c>
      <c r="F176" s="8" t="n">
        <v>31</v>
      </c>
      <c r="G176" s="8" t="n">
        <v>28</v>
      </c>
      <c r="H176" s="9">
        <f>IF(F176=0,"",G176/F176)</f>
        <v/>
      </c>
    </row>
    <row r="177">
      <c r="A177" s="10" t="inlineStr">
        <is>
          <t>Simulado 01</t>
        </is>
      </c>
      <c r="B177" s="11" t="n">
        <v>9</v>
      </c>
      <c r="C177" s="11" t="inlineStr">
        <is>
          <t>11ª Fase</t>
        </is>
      </c>
      <c r="D177" s="11" t="inlineStr">
        <is>
          <t>A</t>
        </is>
      </c>
      <c r="E177" s="11" t="inlineStr">
        <is>
          <t>Não</t>
        </is>
      </c>
      <c r="F177" s="11" t="n">
        <v>27</v>
      </c>
      <c r="G177" s="11" t="n">
        <v>0</v>
      </c>
      <c r="H177" s="12">
        <f>IF(F177=0,"",G177/F177)</f>
        <v/>
      </c>
    </row>
    <row r="178">
      <c r="A178" s="7" t="inlineStr">
        <is>
          <t>Simulado 01</t>
        </is>
      </c>
      <c r="B178" s="8" t="n">
        <v>9</v>
      </c>
      <c r="C178" s="8" t="inlineStr">
        <is>
          <t>11ª Fase</t>
        </is>
      </c>
      <c r="D178" s="8" t="inlineStr">
        <is>
          <t>B</t>
        </is>
      </c>
      <c r="E178" s="8" t="inlineStr">
        <is>
          <t>Não</t>
        </is>
      </c>
      <c r="F178" s="8" t="n">
        <v>27</v>
      </c>
      <c r="G178" s="8" t="n">
        <v>0</v>
      </c>
      <c r="H178" s="9">
        <f>IF(F178=0,"",G178/F178)</f>
        <v/>
      </c>
    </row>
    <row r="179">
      <c r="A179" s="10" t="inlineStr">
        <is>
          <t>Simulado 01</t>
        </is>
      </c>
      <c r="B179" s="11" t="n">
        <v>9</v>
      </c>
      <c r="C179" s="11" t="inlineStr">
        <is>
          <t>11ª Fase</t>
        </is>
      </c>
      <c r="D179" s="11" t="inlineStr">
        <is>
          <t>C</t>
        </is>
      </c>
      <c r="E179" s="11" t="inlineStr">
        <is>
          <t>Não</t>
        </is>
      </c>
      <c r="F179" s="11" t="n">
        <v>27</v>
      </c>
      <c r="G179" s="11" t="n">
        <v>3</v>
      </c>
      <c r="H179" s="12">
        <f>IF(F179=0,"",G179/F179)</f>
        <v/>
      </c>
    </row>
    <row r="180">
      <c r="A180" s="7" t="inlineStr">
        <is>
          <t>Simulado 01</t>
        </is>
      </c>
      <c r="B180" s="8" t="n">
        <v>9</v>
      </c>
      <c r="C180" s="8" t="inlineStr">
        <is>
          <t>11ª Fase</t>
        </is>
      </c>
      <c r="D180" s="8" t="inlineStr">
        <is>
          <t>D</t>
        </is>
      </c>
      <c r="E180" s="8" t="inlineStr">
        <is>
          <t>Não</t>
        </is>
      </c>
      <c r="F180" s="8" t="n">
        <v>27</v>
      </c>
      <c r="G180" s="8" t="n">
        <v>0</v>
      </c>
      <c r="H180" s="9">
        <f>IF(F180=0,"",G180/F180)</f>
        <v/>
      </c>
    </row>
    <row r="181">
      <c r="A181" s="10" t="inlineStr">
        <is>
          <t>Simulado 01</t>
        </is>
      </c>
      <c r="B181" s="11" t="n">
        <v>9</v>
      </c>
      <c r="C181" s="11" t="inlineStr">
        <is>
          <t>11ª Fase</t>
        </is>
      </c>
      <c r="D181" s="11" t="inlineStr">
        <is>
          <t>E</t>
        </is>
      </c>
      <c r="E181" s="11" t="inlineStr">
        <is>
          <t>Sim</t>
        </is>
      </c>
      <c r="F181" s="11" t="n">
        <v>27</v>
      </c>
      <c r="G181" s="11" t="n">
        <v>24</v>
      </c>
      <c r="H181" s="12">
        <f>IF(F181=0,"",G181/F181)</f>
        <v/>
      </c>
    </row>
    <row r="182">
      <c r="A182" s="7" t="inlineStr">
        <is>
          <t>Simulado 01</t>
        </is>
      </c>
      <c r="B182" s="8" t="n">
        <v>10</v>
      </c>
      <c r="C182" s="8" t="inlineStr">
        <is>
          <t>6ª Fase</t>
        </is>
      </c>
      <c r="D182" s="8" t="inlineStr">
        <is>
          <t>A</t>
        </is>
      </c>
      <c r="E182" s="8" t="inlineStr">
        <is>
          <t>Não</t>
        </is>
      </c>
      <c r="F182" s="8" t="n">
        <v>27</v>
      </c>
      <c r="G182" s="8" t="n">
        <v>0</v>
      </c>
      <c r="H182" s="9">
        <f>IF(F182=0,"",G182/F182)</f>
        <v/>
      </c>
    </row>
    <row r="183">
      <c r="A183" s="10" t="inlineStr">
        <is>
          <t>Simulado 01</t>
        </is>
      </c>
      <c r="B183" s="11" t="n">
        <v>10</v>
      </c>
      <c r="C183" s="11" t="inlineStr">
        <is>
          <t>6ª Fase</t>
        </is>
      </c>
      <c r="D183" s="11" t="inlineStr">
        <is>
          <t>B</t>
        </is>
      </c>
      <c r="E183" s="11" t="inlineStr">
        <is>
          <t>Sim</t>
        </is>
      </c>
      <c r="F183" s="11" t="n">
        <v>27</v>
      </c>
      <c r="G183" s="11" t="n">
        <v>22</v>
      </c>
      <c r="H183" s="12">
        <f>IF(F183=0,"",G183/F183)</f>
        <v/>
      </c>
    </row>
    <row r="184">
      <c r="A184" s="7" t="inlineStr">
        <is>
          <t>Simulado 01</t>
        </is>
      </c>
      <c r="B184" s="8" t="n">
        <v>10</v>
      </c>
      <c r="C184" s="8" t="inlineStr">
        <is>
          <t>6ª Fase</t>
        </is>
      </c>
      <c r="D184" s="8" t="inlineStr">
        <is>
          <t>C</t>
        </is>
      </c>
      <c r="E184" s="8" t="inlineStr">
        <is>
          <t>Não</t>
        </is>
      </c>
      <c r="F184" s="8" t="n">
        <v>27</v>
      </c>
      <c r="G184" s="8" t="n">
        <v>0</v>
      </c>
      <c r="H184" s="9">
        <f>IF(F184=0,"",G184/F184)</f>
        <v/>
      </c>
    </row>
    <row r="185">
      <c r="A185" s="10" t="inlineStr">
        <is>
          <t>Simulado 01</t>
        </is>
      </c>
      <c r="B185" s="11" t="n">
        <v>10</v>
      </c>
      <c r="C185" s="11" t="inlineStr">
        <is>
          <t>6ª Fase</t>
        </is>
      </c>
      <c r="D185" s="11" t="inlineStr">
        <is>
          <t>D</t>
        </is>
      </c>
      <c r="E185" s="11" t="inlineStr">
        <is>
          <t>Não</t>
        </is>
      </c>
      <c r="F185" s="11" t="n">
        <v>27</v>
      </c>
      <c r="G185" s="11" t="n">
        <v>1</v>
      </c>
      <c r="H185" s="12">
        <f>IF(F185=0,"",G185/F185)</f>
        <v/>
      </c>
    </row>
    <row r="186">
      <c r="A186" s="7" t="inlineStr">
        <is>
          <t>Simulado 01</t>
        </is>
      </c>
      <c r="B186" s="8" t="n">
        <v>10</v>
      </c>
      <c r="C186" s="8" t="inlineStr">
        <is>
          <t>6ª Fase</t>
        </is>
      </c>
      <c r="D186" s="8" t="inlineStr">
        <is>
          <t>E</t>
        </is>
      </c>
      <c r="E186" s="8" t="inlineStr">
        <is>
          <t>Não</t>
        </is>
      </c>
      <c r="F186" s="8" t="n">
        <v>27</v>
      </c>
      <c r="G186" s="8" t="n">
        <v>4</v>
      </c>
      <c r="H186" s="9">
        <f>IF(F186=0,"",G186/F186)</f>
        <v/>
      </c>
    </row>
    <row r="187">
      <c r="A187" s="10" t="inlineStr">
        <is>
          <t>Simulado 01</t>
        </is>
      </c>
      <c r="B187" s="11" t="n">
        <v>10</v>
      </c>
      <c r="C187" s="11" t="inlineStr">
        <is>
          <t>7ª Fase</t>
        </is>
      </c>
      <c r="D187" s="11" t="inlineStr">
        <is>
          <t>A</t>
        </is>
      </c>
      <c r="E187" s="11" t="inlineStr">
        <is>
          <t>Não</t>
        </is>
      </c>
      <c r="F187" s="11" t="n">
        <v>33</v>
      </c>
      <c r="G187" s="11" t="n">
        <v>0</v>
      </c>
      <c r="H187" s="12">
        <f>IF(F187=0,"",G187/F187)</f>
        <v/>
      </c>
    </row>
    <row r="188">
      <c r="A188" s="7" t="inlineStr">
        <is>
          <t>Simulado 01</t>
        </is>
      </c>
      <c r="B188" s="8" t="n">
        <v>10</v>
      </c>
      <c r="C188" s="8" t="inlineStr">
        <is>
          <t>7ª Fase</t>
        </is>
      </c>
      <c r="D188" s="8" t="inlineStr">
        <is>
          <t>B</t>
        </is>
      </c>
      <c r="E188" s="8" t="inlineStr">
        <is>
          <t>Sim</t>
        </is>
      </c>
      <c r="F188" s="8" t="n">
        <v>33</v>
      </c>
      <c r="G188" s="8" t="n">
        <v>25</v>
      </c>
      <c r="H188" s="9">
        <f>IF(F188=0,"",G188/F188)</f>
        <v/>
      </c>
    </row>
    <row r="189">
      <c r="A189" s="10" t="inlineStr">
        <is>
          <t>Simulado 01</t>
        </is>
      </c>
      <c r="B189" s="11" t="n">
        <v>10</v>
      </c>
      <c r="C189" s="11" t="inlineStr">
        <is>
          <t>7ª Fase</t>
        </is>
      </c>
      <c r="D189" s="11" t="inlineStr">
        <is>
          <t>C</t>
        </is>
      </c>
      <c r="E189" s="11" t="inlineStr">
        <is>
          <t>Não</t>
        </is>
      </c>
      <c r="F189" s="11" t="n">
        <v>33</v>
      </c>
      <c r="G189" s="11" t="n">
        <v>0</v>
      </c>
      <c r="H189" s="12">
        <f>IF(F189=0,"",G189/F189)</f>
        <v/>
      </c>
    </row>
    <row r="190">
      <c r="A190" s="7" t="inlineStr">
        <is>
          <t>Simulado 01</t>
        </is>
      </c>
      <c r="B190" s="8" t="n">
        <v>10</v>
      </c>
      <c r="C190" s="8" t="inlineStr">
        <is>
          <t>7ª Fase</t>
        </is>
      </c>
      <c r="D190" s="8" t="inlineStr">
        <is>
          <t>D</t>
        </is>
      </c>
      <c r="E190" s="8" t="inlineStr">
        <is>
          <t>Não</t>
        </is>
      </c>
      <c r="F190" s="8" t="n">
        <v>33</v>
      </c>
      <c r="G190" s="8" t="n">
        <v>0</v>
      </c>
      <c r="H190" s="9">
        <f>IF(F190=0,"",G190/F190)</f>
        <v/>
      </c>
    </row>
    <row r="191">
      <c r="A191" s="10" t="inlineStr">
        <is>
          <t>Simulado 01</t>
        </is>
      </c>
      <c r="B191" s="11" t="n">
        <v>10</v>
      </c>
      <c r="C191" s="11" t="inlineStr">
        <is>
          <t>7ª Fase</t>
        </is>
      </c>
      <c r="D191" s="11" t="inlineStr">
        <is>
          <t>E</t>
        </is>
      </c>
      <c r="E191" s="11" t="inlineStr">
        <is>
          <t>Não</t>
        </is>
      </c>
      <c r="F191" s="11" t="n">
        <v>33</v>
      </c>
      <c r="G191" s="11" t="n">
        <v>8</v>
      </c>
      <c r="H191" s="12">
        <f>IF(F191=0,"",G191/F191)</f>
        <v/>
      </c>
    </row>
    <row r="192">
      <c r="A192" s="7" t="inlineStr">
        <is>
          <t>Simulado 01</t>
        </is>
      </c>
      <c r="B192" s="8" t="n">
        <v>10</v>
      </c>
      <c r="C192" s="8" t="inlineStr">
        <is>
          <t>10ª Fase</t>
        </is>
      </c>
      <c r="D192" s="8" t="inlineStr">
        <is>
          <t>A</t>
        </is>
      </c>
      <c r="E192" s="8" t="inlineStr">
        <is>
          <t>Não</t>
        </is>
      </c>
      <c r="F192" s="8" t="n">
        <v>31</v>
      </c>
      <c r="G192" s="8" t="n">
        <v>0</v>
      </c>
      <c r="H192" s="9">
        <f>IF(F192=0,"",G192/F192)</f>
        <v/>
      </c>
    </row>
    <row r="193">
      <c r="A193" s="10" t="inlineStr">
        <is>
          <t>Simulado 01</t>
        </is>
      </c>
      <c r="B193" s="11" t="n">
        <v>10</v>
      </c>
      <c r="C193" s="11" t="inlineStr">
        <is>
          <t>10ª Fase</t>
        </is>
      </c>
      <c r="D193" s="11" t="inlineStr">
        <is>
          <t>B</t>
        </is>
      </c>
      <c r="E193" s="11" t="inlineStr">
        <is>
          <t>Sim</t>
        </is>
      </c>
      <c r="F193" s="11" t="n">
        <v>31</v>
      </c>
      <c r="G193" s="11" t="n">
        <v>27</v>
      </c>
      <c r="H193" s="12">
        <f>IF(F193=0,"",G193/F193)</f>
        <v/>
      </c>
    </row>
    <row r="194">
      <c r="A194" s="7" t="inlineStr">
        <is>
          <t>Simulado 01</t>
        </is>
      </c>
      <c r="B194" s="8" t="n">
        <v>10</v>
      </c>
      <c r="C194" s="8" t="inlineStr">
        <is>
          <t>10ª Fase</t>
        </is>
      </c>
      <c r="D194" s="8" t="inlineStr">
        <is>
          <t>C</t>
        </is>
      </c>
      <c r="E194" s="8" t="inlineStr">
        <is>
          <t>Não</t>
        </is>
      </c>
      <c r="F194" s="8" t="n">
        <v>31</v>
      </c>
      <c r="G194" s="8" t="n">
        <v>2</v>
      </c>
      <c r="H194" s="9">
        <f>IF(F194=0,"",G194/F194)</f>
        <v/>
      </c>
    </row>
    <row r="195">
      <c r="A195" s="10" t="inlineStr">
        <is>
          <t>Simulado 01</t>
        </is>
      </c>
      <c r="B195" s="11" t="n">
        <v>10</v>
      </c>
      <c r="C195" s="11" t="inlineStr">
        <is>
          <t>10ª Fase</t>
        </is>
      </c>
      <c r="D195" s="11" t="inlineStr">
        <is>
          <t>D</t>
        </is>
      </c>
      <c r="E195" s="11" t="inlineStr">
        <is>
          <t>Não</t>
        </is>
      </c>
      <c r="F195" s="11" t="n">
        <v>31</v>
      </c>
      <c r="G195" s="11" t="n">
        <v>0</v>
      </c>
      <c r="H195" s="12">
        <f>IF(F195=0,"",G195/F195)</f>
        <v/>
      </c>
    </row>
    <row r="196">
      <c r="A196" s="7" t="inlineStr">
        <is>
          <t>Simulado 01</t>
        </is>
      </c>
      <c r="B196" s="8" t="n">
        <v>10</v>
      </c>
      <c r="C196" s="8" t="inlineStr">
        <is>
          <t>10ª Fase</t>
        </is>
      </c>
      <c r="D196" s="8" t="inlineStr">
        <is>
          <t>E</t>
        </is>
      </c>
      <c r="E196" s="8" t="inlineStr">
        <is>
          <t>Não</t>
        </is>
      </c>
      <c r="F196" s="8" t="n">
        <v>31</v>
      </c>
      <c r="G196" s="8" t="n">
        <v>2</v>
      </c>
      <c r="H196" s="9">
        <f>IF(F196=0,"",G196/F196)</f>
        <v/>
      </c>
    </row>
    <row r="197">
      <c r="A197" s="10" t="inlineStr">
        <is>
          <t>Simulado 01</t>
        </is>
      </c>
      <c r="B197" s="11" t="n">
        <v>10</v>
      </c>
      <c r="C197" s="11" t="inlineStr">
        <is>
          <t>11ª Fase</t>
        </is>
      </c>
      <c r="D197" s="11" t="inlineStr">
        <is>
          <t>A</t>
        </is>
      </c>
      <c r="E197" s="11" t="inlineStr">
        <is>
          <t>Não</t>
        </is>
      </c>
      <c r="F197" s="11" t="n">
        <v>27</v>
      </c>
      <c r="G197" s="11" t="n">
        <v>0</v>
      </c>
      <c r="H197" s="12">
        <f>IF(F197=0,"",G197/F197)</f>
        <v/>
      </c>
    </row>
    <row r="198">
      <c r="A198" s="7" t="inlineStr">
        <is>
          <t>Simulado 01</t>
        </is>
      </c>
      <c r="B198" s="8" t="n">
        <v>10</v>
      </c>
      <c r="C198" s="8" t="inlineStr">
        <is>
          <t>11ª Fase</t>
        </is>
      </c>
      <c r="D198" s="8" t="inlineStr">
        <is>
          <t>B</t>
        </is>
      </c>
      <c r="E198" s="8" t="inlineStr">
        <is>
          <t>Sim</t>
        </is>
      </c>
      <c r="F198" s="8" t="n">
        <v>27</v>
      </c>
      <c r="G198" s="8" t="n">
        <v>21</v>
      </c>
      <c r="H198" s="9">
        <f>IF(F198=0,"",G198/F198)</f>
        <v/>
      </c>
    </row>
    <row r="199">
      <c r="A199" s="10" t="inlineStr">
        <is>
          <t>Simulado 01</t>
        </is>
      </c>
      <c r="B199" s="11" t="n">
        <v>10</v>
      </c>
      <c r="C199" s="11" t="inlineStr">
        <is>
          <t>11ª Fase</t>
        </is>
      </c>
      <c r="D199" s="11" t="inlineStr">
        <is>
          <t>C</t>
        </is>
      </c>
      <c r="E199" s="11" t="inlineStr">
        <is>
          <t>Não</t>
        </is>
      </c>
      <c r="F199" s="11" t="n">
        <v>27</v>
      </c>
      <c r="G199" s="11" t="n">
        <v>1</v>
      </c>
      <c r="H199" s="12">
        <f>IF(F199=0,"",G199/F199)</f>
        <v/>
      </c>
    </row>
    <row r="200">
      <c r="A200" s="7" t="inlineStr">
        <is>
          <t>Simulado 01</t>
        </is>
      </c>
      <c r="B200" s="8" t="n">
        <v>10</v>
      </c>
      <c r="C200" s="8" t="inlineStr">
        <is>
          <t>11ª Fase</t>
        </is>
      </c>
      <c r="D200" s="8" t="inlineStr">
        <is>
          <t>D</t>
        </is>
      </c>
      <c r="E200" s="8" t="inlineStr">
        <is>
          <t>Não</t>
        </is>
      </c>
      <c r="F200" s="8" t="n">
        <v>27</v>
      </c>
      <c r="G200" s="8" t="n">
        <v>0</v>
      </c>
      <c r="H200" s="9">
        <f>IF(F200=0,"",G200/F200)</f>
        <v/>
      </c>
    </row>
    <row r="201">
      <c r="A201" s="10" t="inlineStr">
        <is>
          <t>Simulado 01</t>
        </is>
      </c>
      <c r="B201" s="11" t="n">
        <v>10</v>
      </c>
      <c r="C201" s="11" t="inlineStr">
        <is>
          <t>11ª Fase</t>
        </is>
      </c>
      <c r="D201" s="11" t="inlineStr">
        <is>
          <t>E</t>
        </is>
      </c>
      <c r="E201" s="11" t="inlineStr">
        <is>
          <t>Não</t>
        </is>
      </c>
      <c r="F201" s="11" t="n">
        <v>27</v>
      </c>
      <c r="G201" s="11" t="n">
        <v>5</v>
      </c>
      <c r="H201" s="12">
        <f>IF(F201=0,"",G201/F201)</f>
        <v/>
      </c>
    </row>
    <row r="202">
      <c r="A202" s="7" t="inlineStr">
        <is>
          <t>Simulado 01</t>
        </is>
      </c>
      <c r="B202" s="8" t="n">
        <v>11</v>
      </c>
      <c r="C202" s="8" t="inlineStr">
        <is>
          <t>6ª Fase</t>
        </is>
      </c>
      <c r="D202" s="8" t="inlineStr">
        <is>
          <t>A</t>
        </is>
      </c>
      <c r="E202" s="8" t="inlineStr">
        <is>
          <t>Não</t>
        </is>
      </c>
      <c r="F202" s="8" t="n">
        <v>27</v>
      </c>
      <c r="G202" s="8" t="n">
        <v>6</v>
      </c>
      <c r="H202" s="9">
        <f>IF(F202=0,"",G202/F202)</f>
        <v/>
      </c>
    </row>
    <row r="203">
      <c r="A203" s="10" t="inlineStr">
        <is>
          <t>Simulado 01</t>
        </is>
      </c>
      <c r="B203" s="11" t="n">
        <v>11</v>
      </c>
      <c r="C203" s="11" t="inlineStr">
        <is>
          <t>6ª Fase</t>
        </is>
      </c>
      <c r="D203" s="11" t="inlineStr">
        <is>
          <t>B</t>
        </is>
      </c>
      <c r="E203" s="11" t="inlineStr">
        <is>
          <t>Não</t>
        </is>
      </c>
      <c r="F203" s="11" t="n">
        <v>27</v>
      </c>
      <c r="G203" s="11" t="n">
        <v>2</v>
      </c>
      <c r="H203" s="12">
        <f>IF(F203=0,"",G203/F203)</f>
        <v/>
      </c>
    </row>
    <row r="204">
      <c r="A204" s="7" t="inlineStr">
        <is>
          <t>Simulado 01</t>
        </is>
      </c>
      <c r="B204" s="8" t="n">
        <v>11</v>
      </c>
      <c r="C204" s="8" t="inlineStr">
        <is>
          <t>6ª Fase</t>
        </is>
      </c>
      <c r="D204" s="8" t="inlineStr">
        <is>
          <t>C</t>
        </is>
      </c>
      <c r="E204" s="8" t="inlineStr">
        <is>
          <t>Sim</t>
        </is>
      </c>
      <c r="F204" s="8" t="n">
        <v>27</v>
      </c>
      <c r="G204" s="8" t="n">
        <v>3</v>
      </c>
      <c r="H204" s="9">
        <f>IF(F204=0,"",G204/F204)</f>
        <v/>
      </c>
    </row>
    <row r="205">
      <c r="A205" s="10" t="inlineStr">
        <is>
          <t>Simulado 01</t>
        </is>
      </c>
      <c r="B205" s="11" t="n">
        <v>11</v>
      </c>
      <c r="C205" s="11" t="inlineStr">
        <is>
          <t>6ª Fase</t>
        </is>
      </c>
      <c r="D205" s="11" t="inlineStr">
        <is>
          <t>D</t>
        </is>
      </c>
      <c r="E205" s="11" t="inlineStr">
        <is>
          <t>Não</t>
        </is>
      </c>
      <c r="F205" s="11" t="n">
        <v>27</v>
      </c>
      <c r="G205" s="11" t="n">
        <v>12</v>
      </c>
      <c r="H205" s="12">
        <f>IF(F205=0,"",G205/F205)</f>
        <v/>
      </c>
    </row>
    <row r="206">
      <c r="A206" s="7" t="inlineStr">
        <is>
          <t>Simulado 01</t>
        </is>
      </c>
      <c r="B206" s="8" t="n">
        <v>11</v>
      </c>
      <c r="C206" s="8" t="inlineStr">
        <is>
          <t>6ª Fase</t>
        </is>
      </c>
      <c r="D206" s="8" t="inlineStr">
        <is>
          <t>E</t>
        </is>
      </c>
      <c r="E206" s="8" t="inlineStr">
        <is>
          <t>Não</t>
        </is>
      </c>
      <c r="F206" s="8" t="n">
        <v>27</v>
      </c>
      <c r="G206" s="8" t="n">
        <v>4</v>
      </c>
      <c r="H206" s="9">
        <f>IF(F206=0,"",G206/F206)</f>
        <v/>
      </c>
    </row>
    <row r="207">
      <c r="A207" s="10" t="inlineStr">
        <is>
          <t>Simulado 01</t>
        </is>
      </c>
      <c r="B207" s="11" t="n">
        <v>11</v>
      </c>
      <c r="C207" s="11" t="inlineStr">
        <is>
          <t>7ª Fase</t>
        </is>
      </c>
      <c r="D207" s="11" t="inlineStr">
        <is>
          <t>A</t>
        </is>
      </c>
      <c r="E207" s="11" t="inlineStr">
        <is>
          <t>Não</t>
        </is>
      </c>
      <c r="F207" s="11" t="n">
        <v>33</v>
      </c>
      <c r="G207" s="11" t="n">
        <v>5</v>
      </c>
      <c r="H207" s="12">
        <f>IF(F207=0,"",G207/F207)</f>
        <v/>
      </c>
    </row>
    <row r="208">
      <c r="A208" s="7" t="inlineStr">
        <is>
          <t>Simulado 01</t>
        </is>
      </c>
      <c r="B208" s="8" t="n">
        <v>11</v>
      </c>
      <c r="C208" s="8" t="inlineStr">
        <is>
          <t>7ª Fase</t>
        </is>
      </c>
      <c r="D208" s="8" t="inlineStr">
        <is>
          <t>B</t>
        </is>
      </c>
      <c r="E208" s="8" t="inlineStr">
        <is>
          <t>Não</t>
        </is>
      </c>
      <c r="F208" s="8" t="n">
        <v>33</v>
      </c>
      <c r="G208" s="8" t="n">
        <v>4</v>
      </c>
      <c r="H208" s="9">
        <f>IF(F208=0,"",G208/F208)</f>
        <v/>
      </c>
    </row>
    <row r="209">
      <c r="A209" s="10" t="inlineStr">
        <is>
          <t>Simulado 01</t>
        </is>
      </c>
      <c r="B209" s="11" t="n">
        <v>11</v>
      </c>
      <c r="C209" s="11" t="inlineStr">
        <is>
          <t>7ª Fase</t>
        </is>
      </c>
      <c r="D209" s="11" t="inlineStr">
        <is>
          <t>C</t>
        </is>
      </c>
      <c r="E209" s="11" t="inlineStr">
        <is>
          <t>Sim</t>
        </is>
      </c>
      <c r="F209" s="11" t="n">
        <v>33</v>
      </c>
      <c r="G209" s="11" t="n">
        <v>9</v>
      </c>
      <c r="H209" s="12">
        <f>IF(F209=0,"",G209/F209)</f>
        <v/>
      </c>
    </row>
    <row r="210">
      <c r="A210" s="7" t="inlineStr">
        <is>
          <t>Simulado 01</t>
        </is>
      </c>
      <c r="B210" s="8" t="n">
        <v>11</v>
      </c>
      <c r="C210" s="8" t="inlineStr">
        <is>
          <t>7ª Fase</t>
        </is>
      </c>
      <c r="D210" s="8" t="inlineStr">
        <is>
          <t>D</t>
        </is>
      </c>
      <c r="E210" s="8" t="inlineStr">
        <is>
          <t>Não</t>
        </is>
      </c>
      <c r="F210" s="8" t="n">
        <v>33</v>
      </c>
      <c r="G210" s="8" t="n">
        <v>12</v>
      </c>
      <c r="H210" s="9">
        <f>IF(F210=0,"",G210/F210)</f>
        <v/>
      </c>
    </row>
    <row r="211">
      <c r="A211" s="10" t="inlineStr">
        <is>
          <t>Simulado 01</t>
        </is>
      </c>
      <c r="B211" s="11" t="n">
        <v>11</v>
      </c>
      <c r="C211" s="11" t="inlineStr">
        <is>
          <t>7ª Fase</t>
        </is>
      </c>
      <c r="D211" s="11" t="inlineStr">
        <is>
          <t>E</t>
        </is>
      </c>
      <c r="E211" s="11" t="inlineStr">
        <is>
          <t>Não</t>
        </is>
      </c>
      <c r="F211" s="11" t="n">
        <v>33</v>
      </c>
      <c r="G211" s="11" t="n">
        <v>3</v>
      </c>
      <c r="H211" s="12">
        <f>IF(F211=0,"",G211/F211)</f>
        <v/>
      </c>
    </row>
    <row r="212">
      <c r="A212" s="7" t="inlineStr">
        <is>
          <t>Simulado 01</t>
        </is>
      </c>
      <c r="B212" s="8" t="n">
        <v>11</v>
      </c>
      <c r="C212" s="8" t="inlineStr">
        <is>
          <t>10ª Fase</t>
        </is>
      </c>
      <c r="D212" s="8" t="inlineStr">
        <is>
          <t>A</t>
        </is>
      </c>
      <c r="E212" s="8" t="inlineStr">
        <is>
          <t>Não</t>
        </is>
      </c>
      <c r="F212" s="8" t="n">
        <v>31</v>
      </c>
      <c r="G212" s="8" t="n">
        <v>11</v>
      </c>
      <c r="H212" s="9">
        <f>IF(F212=0,"",G212/F212)</f>
        <v/>
      </c>
    </row>
    <row r="213">
      <c r="A213" s="10" t="inlineStr">
        <is>
          <t>Simulado 01</t>
        </is>
      </c>
      <c r="B213" s="11" t="n">
        <v>11</v>
      </c>
      <c r="C213" s="11" t="inlineStr">
        <is>
          <t>10ª Fase</t>
        </is>
      </c>
      <c r="D213" s="11" t="inlineStr">
        <is>
          <t>B</t>
        </is>
      </c>
      <c r="E213" s="11" t="inlineStr">
        <is>
          <t>Não</t>
        </is>
      </c>
      <c r="F213" s="11" t="n">
        <v>31</v>
      </c>
      <c r="G213" s="11" t="n">
        <v>1</v>
      </c>
      <c r="H213" s="12">
        <f>IF(F213=0,"",G213/F213)</f>
        <v/>
      </c>
    </row>
    <row r="214">
      <c r="A214" s="7" t="inlineStr">
        <is>
          <t>Simulado 01</t>
        </is>
      </c>
      <c r="B214" s="8" t="n">
        <v>11</v>
      </c>
      <c r="C214" s="8" t="inlineStr">
        <is>
          <t>10ª Fase</t>
        </is>
      </c>
      <c r="D214" s="8" t="inlineStr">
        <is>
          <t>C</t>
        </is>
      </c>
      <c r="E214" s="8" t="inlineStr">
        <is>
          <t>Sim</t>
        </is>
      </c>
      <c r="F214" s="8" t="n">
        <v>31</v>
      </c>
      <c r="G214" s="8" t="n">
        <v>6</v>
      </c>
      <c r="H214" s="9">
        <f>IF(F214=0,"",G214/F214)</f>
        <v/>
      </c>
    </row>
    <row r="215">
      <c r="A215" s="10" t="inlineStr">
        <is>
          <t>Simulado 01</t>
        </is>
      </c>
      <c r="B215" s="11" t="n">
        <v>11</v>
      </c>
      <c r="C215" s="11" t="inlineStr">
        <is>
          <t>10ª Fase</t>
        </is>
      </c>
      <c r="D215" s="11" t="inlineStr">
        <is>
          <t>D</t>
        </is>
      </c>
      <c r="E215" s="11" t="inlineStr">
        <is>
          <t>Não</t>
        </is>
      </c>
      <c r="F215" s="11" t="n">
        <v>31</v>
      </c>
      <c r="G215" s="11" t="n">
        <v>11</v>
      </c>
      <c r="H215" s="12">
        <f>IF(F215=0,"",G215/F215)</f>
        <v/>
      </c>
    </row>
    <row r="216">
      <c r="A216" s="7" t="inlineStr">
        <is>
          <t>Simulado 01</t>
        </is>
      </c>
      <c r="B216" s="8" t="n">
        <v>11</v>
      </c>
      <c r="C216" s="8" t="inlineStr">
        <is>
          <t>10ª Fase</t>
        </is>
      </c>
      <c r="D216" s="8" t="inlineStr">
        <is>
          <t>E</t>
        </is>
      </c>
      <c r="E216" s="8" t="inlineStr">
        <is>
          <t>Não</t>
        </is>
      </c>
      <c r="F216" s="8" t="n">
        <v>31</v>
      </c>
      <c r="G216" s="8" t="n">
        <v>2</v>
      </c>
      <c r="H216" s="9">
        <f>IF(F216=0,"",G216/F216)</f>
        <v/>
      </c>
    </row>
    <row r="217">
      <c r="A217" s="10" t="inlineStr">
        <is>
          <t>Simulado 01</t>
        </is>
      </c>
      <c r="B217" s="11" t="n">
        <v>11</v>
      </c>
      <c r="C217" s="11" t="inlineStr">
        <is>
          <t>11ª Fase</t>
        </is>
      </c>
      <c r="D217" s="11" t="inlineStr">
        <is>
          <t>A</t>
        </is>
      </c>
      <c r="E217" s="11" t="inlineStr">
        <is>
          <t>Não</t>
        </is>
      </c>
      <c r="F217" s="11" t="n">
        <v>27</v>
      </c>
      <c r="G217" s="11" t="n">
        <v>13</v>
      </c>
      <c r="H217" s="12">
        <f>IF(F217=0,"",G217/F217)</f>
        <v/>
      </c>
    </row>
    <row r="218">
      <c r="A218" s="7" t="inlineStr">
        <is>
          <t>Simulado 01</t>
        </is>
      </c>
      <c r="B218" s="8" t="n">
        <v>11</v>
      </c>
      <c r="C218" s="8" t="inlineStr">
        <is>
          <t>11ª Fase</t>
        </is>
      </c>
      <c r="D218" s="8" t="inlineStr">
        <is>
          <t>B</t>
        </is>
      </c>
      <c r="E218" s="8" t="inlineStr">
        <is>
          <t>Não</t>
        </is>
      </c>
      <c r="F218" s="8" t="n">
        <v>27</v>
      </c>
      <c r="G218" s="8" t="n">
        <v>2</v>
      </c>
      <c r="H218" s="9">
        <f>IF(F218=0,"",G218/F218)</f>
        <v/>
      </c>
    </row>
    <row r="219">
      <c r="A219" s="10" t="inlineStr">
        <is>
          <t>Simulado 01</t>
        </is>
      </c>
      <c r="B219" s="11" t="n">
        <v>11</v>
      </c>
      <c r="C219" s="11" t="inlineStr">
        <is>
          <t>11ª Fase</t>
        </is>
      </c>
      <c r="D219" s="11" t="inlineStr">
        <is>
          <t>C</t>
        </is>
      </c>
      <c r="E219" s="11" t="inlineStr">
        <is>
          <t>Sim</t>
        </is>
      </c>
      <c r="F219" s="11" t="n">
        <v>27</v>
      </c>
      <c r="G219" s="11" t="n">
        <v>2</v>
      </c>
      <c r="H219" s="12">
        <f>IF(F219=0,"",G219/F219)</f>
        <v/>
      </c>
    </row>
    <row r="220">
      <c r="A220" s="7" t="inlineStr">
        <is>
          <t>Simulado 01</t>
        </is>
      </c>
      <c r="B220" s="8" t="n">
        <v>11</v>
      </c>
      <c r="C220" s="8" t="inlineStr">
        <is>
          <t>11ª Fase</t>
        </is>
      </c>
      <c r="D220" s="8" t="inlineStr">
        <is>
          <t>D</t>
        </is>
      </c>
      <c r="E220" s="8" t="inlineStr">
        <is>
          <t>Não</t>
        </is>
      </c>
      <c r="F220" s="8" t="n">
        <v>27</v>
      </c>
      <c r="G220" s="8" t="n">
        <v>10</v>
      </c>
      <c r="H220" s="9">
        <f>IF(F220=0,"",G220/F220)</f>
        <v/>
      </c>
    </row>
    <row r="221">
      <c r="A221" s="10" t="inlineStr">
        <is>
          <t>Simulado 01</t>
        </is>
      </c>
      <c r="B221" s="11" t="n">
        <v>11</v>
      </c>
      <c r="C221" s="11" t="inlineStr">
        <is>
          <t>11ª Fase</t>
        </is>
      </c>
      <c r="D221" s="11" t="inlineStr">
        <is>
          <t>E</t>
        </is>
      </c>
      <c r="E221" s="11" t="inlineStr">
        <is>
          <t>Não</t>
        </is>
      </c>
      <c r="F221" s="11" t="n">
        <v>27</v>
      </c>
      <c r="G221" s="11" t="n">
        <v>0</v>
      </c>
      <c r="H221" s="12">
        <f>IF(F221=0,"",G221/F221)</f>
        <v/>
      </c>
    </row>
    <row r="222">
      <c r="A222" s="7" t="inlineStr">
        <is>
          <t>Simulado 01</t>
        </is>
      </c>
      <c r="B222" s="8" t="n">
        <v>12</v>
      </c>
      <c r="C222" s="8" t="inlineStr">
        <is>
          <t>6ª Fase</t>
        </is>
      </c>
      <c r="D222" s="8" t="inlineStr">
        <is>
          <t>A</t>
        </is>
      </c>
      <c r="E222" s="8" t="inlineStr">
        <is>
          <t>Sim</t>
        </is>
      </c>
      <c r="F222" s="8" t="n">
        <v>27</v>
      </c>
      <c r="G222" s="8" t="n">
        <v>13</v>
      </c>
      <c r="H222" s="9">
        <f>IF(F222=0,"",G222/F222)</f>
        <v/>
      </c>
    </row>
    <row r="223">
      <c r="A223" s="10" t="inlineStr">
        <is>
          <t>Simulado 01</t>
        </is>
      </c>
      <c r="B223" s="11" t="n">
        <v>12</v>
      </c>
      <c r="C223" s="11" t="inlineStr">
        <is>
          <t>6ª Fase</t>
        </is>
      </c>
      <c r="D223" s="11" t="inlineStr">
        <is>
          <t>B</t>
        </is>
      </c>
      <c r="E223" s="11" t="inlineStr">
        <is>
          <t>Não</t>
        </is>
      </c>
      <c r="F223" s="11" t="n">
        <v>27</v>
      </c>
      <c r="G223" s="11" t="n">
        <v>12</v>
      </c>
      <c r="H223" s="12">
        <f>IF(F223=0,"",G223/F223)</f>
        <v/>
      </c>
    </row>
    <row r="224">
      <c r="A224" s="7" t="inlineStr">
        <is>
          <t>Simulado 01</t>
        </is>
      </c>
      <c r="B224" s="8" t="n">
        <v>12</v>
      </c>
      <c r="C224" s="8" t="inlineStr">
        <is>
          <t>6ª Fase</t>
        </is>
      </c>
      <c r="D224" s="8" t="inlineStr">
        <is>
          <t>C</t>
        </is>
      </c>
      <c r="E224" s="8" t="inlineStr">
        <is>
          <t>Não</t>
        </is>
      </c>
      <c r="F224" s="8" t="n">
        <v>27</v>
      </c>
      <c r="G224" s="8" t="n">
        <v>2</v>
      </c>
      <c r="H224" s="9">
        <f>IF(F224=0,"",G224/F224)</f>
        <v/>
      </c>
    </row>
    <row r="225">
      <c r="A225" s="10" t="inlineStr">
        <is>
          <t>Simulado 01</t>
        </is>
      </c>
      <c r="B225" s="11" t="n">
        <v>12</v>
      </c>
      <c r="C225" s="11" t="inlineStr">
        <is>
          <t>6ª Fase</t>
        </is>
      </c>
      <c r="D225" s="11" t="inlineStr">
        <is>
          <t>D</t>
        </is>
      </c>
      <c r="E225" s="11" t="inlineStr">
        <is>
          <t>Não</t>
        </is>
      </c>
      <c r="F225" s="11" t="n">
        <v>27</v>
      </c>
      <c r="G225" s="11" t="n">
        <v>0</v>
      </c>
      <c r="H225" s="12">
        <f>IF(F225=0,"",G225/F225)</f>
        <v/>
      </c>
    </row>
    <row r="226">
      <c r="A226" s="7" t="inlineStr">
        <is>
          <t>Simulado 01</t>
        </is>
      </c>
      <c r="B226" s="8" t="n">
        <v>12</v>
      </c>
      <c r="C226" s="8" t="inlineStr">
        <is>
          <t>6ª Fase</t>
        </is>
      </c>
      <c r="D226" s="8" t="inlineStr">
        <is>
          <t>E</t>
        </is>
      </c>
      <c r="E226" s="8" t="inlineStr">
        <is>
          <t>Não</t>
        </is>
      </c>
      <c r="F226" s="8" t="n">
        <v>27</v>
      </c>
      <c r="G226" s="8" t="n">
        <v>0</v>
      </c>
      <c r="H226" s="9">
        <f>IF(F226=0,"",G226/F226)</f>
        <v/>
      </c>
    </row>
    <row r="227">
      <c r="A227" s="10" t="inlineStr">
        <is>
          <t>Simulado 01</t>
        </is>
      </c>
      <c r="B227" s="11" t="n">
        <v>12</v>
      </c>
      <c r="C227" s="11" t="inlineStr">
        <is>
          <t>7ª Fase</t>
        </is>
      </c>
      <c r="D227" s="11" t="inlineStr">
        <is>
          <t>A</t>
        </is>
      </c>
      <c r="E227" s="11" t="inlineStr">
        <is>
          <t>Sim</t>
        </is>
      </c>
      <c r="F227" s="11" t="n">
        <v>33</v>
      </c>
      <c r="G227" s="11" t="n">
        <v>11</v>
      </c>
      <c r="H227" s="12">
        <f>IF(F227=0,"",G227/F227)</f>
        <v/>
      </c>
    </row>
    <row r="228">
      <c r="A228" s="7" t="inlineStr">
        <is>
          <t>Simulado 01</t>
        </is>
      </c>
      <c r="B228" s="8" t="n">
        <v>12</v>
      </c>
      <c r="C228" s="8" t="inlineStr">
        <is>
          <t>7ª Fase</t>
        </is>
      </c>
      <c r="D228" s="8" t="inlineStr">
        <is>
          <t>B</t>
        </is>
      </c>
      <c r="E228" s="8" t="inlineStr">
        <is>
          <t>Não</t>
        </is>
      </c>
      <c r="F228" s="8" t="n">
        <v>33</v>
      </c>
      <c r="G228" s="8" t="n">
        <v>18</v>
      </c>
      <c r="H228" s="9">
        <f>IF(F228=0,"",G228/F228)</f>
        <v/>
      </c>
    </row>
    <row r="229">
      <c r="A229" s="10" t="inlineStr">
        <is>
          <t>Simulado 01</t>
        </is>
      </c>
      <c r="B229" s="11" t="n">
        <v>12</v>
      </c>
      <c r="C229" s="11" t="inlineStr">
        <is>
          <t>7ª Fase</t>
        </is>
      </c>
      <c r="D229" s="11" t="inlineStr">
        <is>
          <t>C</t>
        </is>
      </c>
      <c r="E229" s="11" t="inlineStr">
        <is>
          <t>Não</t>
        </is>
      </c>
      <c r="F229" s="11" t="n">
        <v>33</v>
      </c>
      <c r="G229" s="11" t="n">
        <v>2</v>
      </c>
      <c r="H229" s="12">
        <f>IF(F229=0,"",G229/F229)</f>
        <v/>
      </c>
    </row>
    <row r="230">
      <c r="A230" s="7" t="inlineStr">
        <is>
          <t>Simulado 01</t>
        </is>
      </c>
      <c r="B230" s="8" t="n">
        <v>12</v>
      </c>
      <c r="C230" s="8" t="inlineStr">
        <is>
          <t>7ª Fase</t>
        </is>
      </c>
      <c r="D230" s="8" t="inlineStr">
        <is>
          <t>D</t>
        </is>
      </c>
      <c r="E230" s="8" t="inlineStr">
        <is>
          <t>Não</t>
        </is>
      </c>
      <c r="F230" s="8" t="n">
        <v>33</v>
      </c>
      <c r="G230" s="8" t="n">
        <v>0</v>
      </c>
      <c r="H230" s="9">
        <f>IF(F230=0,"",G230/F230)</f>
        <v/>
      </c>
    </row>
    <row r="231">
      <c r="A231" s="10" t="inlineStr">
        <is>
          <t>Simulado 01</t>
        </is>
      </c>
      <c r="B231" s="11" t="n">
        <v>12</v>
      </c>
      <c r="C231" s="11" t="inlineStr">
        <is>
          <t>7ª Fase</t>
        </is>
      </c>
      <c r="D231" s="11" t="inlineStr">
        <is>
          <t>E</t>
        </is>
      </c>
      <c r="E231" s="11" t="inlineStr">
        <is>
          <t>Não</t>
        </is>
      </c>
      <c r="F231" s="11" t="n">
        <v>33</v>
      </c>
      <c r="G231" s="11" t="n">
        <v>2</v>
      </c>
      <c r="H231" s="12">
        <f>IF(F231=0,"",G231/F231)</f>
        <v/>
      </c>
    </row>
    <row r="232">
      <c r="A232" s="7" t="inlineStr">
        <is>
          <t>Simulado 01</t>
        </is>
      </c>
      <c r="B232" s="8" t="n">
        <v>12</v>
      </c>
      <c r="C232" s="8" t="inlineStr">
        <is>
          <t>10ª Fase</t>
        </is>
      </c>
      <c r="D232" s="8" t="inlineStr">
        <is>
          <t>A</t>
        </is>
      </c>
      <c r="E232" s="8" t="inlineStr">
        <is>
          <t>Sim</t>
        </is>
      </c>
      <c r="F232" s="8" t="n">
        <v>31</v>
      </c>
      <c r="G232" s="8" t="n">
        <v>14</v>
      </c>
      <c r="H232" s="9">
        <f>IF(F232=0,"",G232/F232)</f>
        <v/>
      </c>
    </row>
    <row r="233">
      <c r="A233" s="10" t="inlineStr">
        <is>
          <t>Simulado 01</t>
        </is>
      </c>
      <c r="B233" s="11" t="n">
        <v>12</v>
      </c>
      <c r="C233" s="11" t="inlineStr">
        <is>
          <t>10ª Fase</t>
        </is>
      </c>
      <c r="D233" s="11" t="inlineStr">
        <is>
          <t>B</t>
        </is>
      </c>
      <c r="E233" s="11" t="inlineStr">
        <is>
          <t>Não</t>
        </is>
      </c>
      <c r="F233" s="11" t="n">
        <v>31</v>
      </c>
      <c r="G233" s="11" t="n">
        <v>15</v>
      </c>
      <c r="H233" s="12">
        <f>IF(F233=0,"",G233/F233)</f>
        <v/>
      </c>
    </row>
    <row r="234">
      <c r="A234" s="7" t="inlineStr">
        <is>
          <t>Simulado 01</t>
        </is>
      </c>
      <c r="B234" s="8" t="n">
        <v>12</v>
      </c>
      <c r="C234" s="8" t="inlineStr">
        <is>
          <t>10ª Fase</t>
        </is>
      </c>
      <c r="D234" s="8" t="inlineStr">
        <is>
          <t>C</t>
        </is>
      </c>
      <c r="E234" s="8" t="inlineStr">
        <is>
          <t>Não</t>
        </is>
      </c>
      <c r="F234" s="8" t="n">
        <v>31</v>
      </c>
      <c r="G234" s="8" t="n">
        <v>1</v>
      </c>
      <c r="H234" s="9">
        <f>IF(F234=0,"",G234/F234)</f>
        <v/>
      </c>
    </row>
    <row r="235">
      <c r="A235" s="10" t="inlineStr">
        <is>
          <t>Simulado 01</t>
        </is>
      </c>
      <c r="B235" s="11" t="n">
        <v>12</v>
      </c>
      <c r="C235" s="11" t="inlineStr">
        <is>
          <t>10ª Fase</t>
        </is>
      </c>
      <c r="D235" s="11" t="inlineStr">
        <is>
          <t>D</t>
        </is>
      </c>
      <c r="E235" s="11" t="inlineStr">
        <is>
          <t>Não</t>
        </is>
      </c>
      <c r="F235" s="11" t="n">
        <v>31</v>
      </c>
      <c r="G235" s="11" t="n">
        <v>0</v>
      </c>
      <c r="H235" s="12">
        <f>IF(F235=0,"",G235/F235)</f>
        <v/>
      </c>
    </row>
    <row r="236">
      <c r="A236" s="7" t="inlineStr">
        <is>
          <t>Simulado 01</t>
        </is>
      </c>
      <c r="B236" s="8" t="n">
        <v>12</v>
      </c>
      <c r="C236" s="8" t="inlineStr">
        <is>
          <t>10ª Fase</t>
        </is>
      </c>
      <c r="D236" s="8" t="inlineStr">
        <is>
          <t>E</t>
        </is>
      </c>
      <c r="E236" s="8" t="inlineStr">
        <is>
          <t>Não</t>
        </is>
      </c>
      <c r="F236" s="8" t="n">
        <v>31</v>
      </c>
      <c r="G236" s="8" t="n">
        <v>1</v>
      </c>
      <c r="H236" s="9">
        <f>IF(F236=0,"",G236/F236)</f>
        <v/>
      </c>
    </row>
    <row r="237">
      <c r="A237" s="10" t="inlineStr">
        <is>
          <t>Simulado 01</t>
        </is>
      </c>
      <c r="B237" s="11" t="n">
        <v>12</v>
      </c>
      <c r="C237" s="11" t="inlineStr">
        <is>
          <t>11ª Fase</t>
        </is>
      </c>
      <c r="D237" s="11" t="inlineStr">
        <is>
          <t>A</t>
        </is>
      </c>
      <c r="E237" s="11" t="inlineStr">
        <is>
          <t>Sim</t>
        </is>
      </c>
      <c r="F237" s="11" t="n">
        <v>27</v>
      </c>
      <c r="G237" s="11" t="n">
        <v>16</v>
      </c>
      <c r="H237" s="12">
        <f>IF(F237=0,"",G237/F237)</f>
        <v/>
      </c>
    </row>
    <row r="238">
      <c r="A238" s="7" t="inlineStr">
        <is>
          <t>Simulado 01</t>
        </is>
      </c>
      <c r="B238" s="8" t="n">
        <v>12</v>
      </c>
      <c r="C238" s="8" t="inlineStr">
        <is>
          <t>11ª Fase</t>
        </is>
      </c>
      <c r="D238" s="8" t="inlineStr">
        <is>
          <t>B</t>
        </is>
      </c>
      <c r="E238" s="8" t="inlineStr">
        <is>
          <t>Não</t>
        </is>
      </c>
      <c r="F238" s="8" t="n">
        <v>27</v>
      </c>
      <c r="G238" s="8" t="n">
        <v>6</v>
      </c>
      <c r="H238" s="9">
        <f>IF(F238=0,"",G238/F238)</f>
        <v/>
      </c>
    </row>
    <row r="239">
      <c r="A239" s="10" t="inlineStr">
        <is>
          <t>Simulado 01</t>
        </is>
      </c>
      <c r="B239" s="11" t="n">
        <v>12</v>
      </c>
      <c r="C239" s="11" t="inlineStr">
        <is>
          <t>11ª Fase</t>
        </is>
      </c>
      <c r="D239" s="11" t="inlineStr">
        <is>
          <t>C</t>
        </is>
      </c>
      <c r="E239" s="11" t="inlineStr">
        <is>
          <t>Não</t>
        </is>
      </c>
      <c r="F239" s="11" t="n">
        <v>27</v>
      </c>
      <c r="G239" s="11" t="n">
        <v>3</v>
      </c>
      <c r="H239" s="12">
        <f>IF(F239=0,"",G239/F239)</f>
        <v/>
      </c>
    </row>
    <row r="240">
      <c r="A240" s="7" t="inlineStr">
        <is>
          <t>Simulado 01</t>
        </is>
      </c>
      <c r="B240" s="8" t="n">
        <v>12</v>
      </c>
      <c r="C240" s="8" t="inlineStr">
        <is>
          <t>11ª Fase</t>
        </is>
      </c>
      <c r="D240" s="8" t="inlineStr">
        <is>
          <t>D</t>
        </is>
      </c>
      <c r="E240" s="8" t="inlineStr">
        <is>
          <t>Não</t>
        </is>
      </c>
      <c r="F240" s="8" t="n">
        <v>27</v>
      </c>
      <c r="G240" s="8" t="n">
        <v>0</v>
      </c>
      <c r="H240" s="9">
        <f>IF(F240=0,"",G240/F240)</f>
        <v/>
      </c>
    </row>
    <row r="241">
      <c r="A241" s="10" t="inlineStr">
        <is>
          <t>Simulado 01</t>
        </is>
      </c>
      <c r="B241" s="11" t="n">
        <v>12</v>
      </c>
      <c r="C241" s="11" t="inlineStr">
        <is>
          <t>11ª Fase</t>
        </is>
      </c>
      <c r="D241" s="11" t="inlineStr">
        <is>
          <t>E</t>
        </is>
      </c>
      <c r="E241" s="11" t="inlineStr">
        <is>
          <t>Não</t>
        </is>
      </c>
      <c r="F241" s="11" t="n">
        <v>27</v>
      </c>
      <c r="G241" s="11" t="n">
        <v>2</v>
      </c>
      <c r="H241" s="12">
        <f>IF(F241=0,"",G241/F241)</f>
        <v/>
      </c>
    </row>
    <row r="242">
      <c r="A242" s="7" t="inlineStr">
        <is>
          <t>Simulado 01</t>
        </is>
      </c>
      <c r="B242" s="8" t="n">
        <v>13</v>
      </c>
      <c r="C242" s="8" t="inlineStr">
        <is>
          <t>6ª Fase</t>
        </is>
      </c>
      <c r="D242" s="8" t="inlineStr">
        <is>
          <t>A</t>
        </is>
      </c>
      <c r="E242" s="8" t="inlineStr">
        <is>
          <t>Não</t>
        </is>
      </c>
      <c r="F242" s="8" t="n">
        <v>27</v>
      </c>
      <c r="G242" s="8" t="n">
        <v>0</v>
      </c>
      <c r="H242" s="9">
        <f>IF(F242=0,"",G242/F242)</f>
        <v/>
      </c>
    </row>
    <row r="243">
      <c r="A243" s="10" t="inlineStr">
        <is>
          <t>Simulado 01</t>
        </is>
      </c>
      <c r="B243" s="11" t="n">
        <v>13</v>
      </c>
      <c r="C243" s="11" t="inlineStr">
        <is>
          <t>6ª Fase</t>
        </is>
      </c>
      <c r="D243" s="11" t="inlineStr">
        <is>
          <t>B</t>
        </is>
      </c>
      <c r="E243" s="11" t="inlineStr">
        <is>
          <t>Não</t>
        </is>
      </c>
      <c r="F243" s="11" t="n">
        <v>27</v>
      </c>
      <c r="G243" s="11" t="n">
        <v>1</v>
      </c>
      <c r="H243" s="12">
        <f>IF(F243=0,"",G243/F243)</f>
        <v/>
      </c>
    </row>
    <row r="244">
      <c r="A244" s="7" t="inlineStr">
        <is>
          <t>Simulado 01</t>
        </is>
      </c>
      <c r="B244" s="8" t="n">
        <v>13</v>
      </c>
      <c r="C244" s="8" t="inlineStr">
        <is>
          <t>6ª Fase</t>
        </is>
      </c>
      <c r="D244" s="8" t="inlineStr">
        <is>
          <t>C</t>
        </is>
      </c>
      <c r="E244" s="8" t="inlineStr">
        <is>
          <t>Não</t>
        </is>
      </c>
      <c r="F244" s="8" t="n">
        <v>27</v>
      </c>
      <c r="G244" s="8" t="n">
        <v>2</v>
      </c>
      <c r="H244" s="9">
        <f>IF(F244=0,"",G244/F244)</f>
        <v/>
      </c>
    </row>
    <row r="245">
      <c r="A245" s="10" t="inlineStr">
        <is>
          <t>Simulado 01</t>
        </is>
      </c>
      <c r="B245" s="11" t="n">
        <v>13</v>
      </c>
      <c r="C245" s="11" t="inlineStr">
        <is>
          <t>6ª Fase</t>
        </is>
      </c>
      <c r="D245" s="11" t="inlineStr">
        <is>
          <t>D</t>
        </is>
      </c>
      <c r="E245" s="11" t="inlineStr">
        <is>
          <t>Não</t>
        </is>
      </c>
      <c r="F245" s="11" t="n">
        <v>27</v>
      </c>
      <c r="G245" s="11" t="n">
        <v>0</v>
      </c>
      <c r="H245" s="12">
        <f>IF(F245=0,"",G245/F245)</f>
        <v/>
      </c>
    </row>
    <row r="246">
      <c r="A246" s="7" t="inlineStr">
        <is>
          <t>Simulado 01</t>
        </is>
      </c>
      <c r="B246" s="8" t="n">
        <v>13</v>
      </c>
      <c r="C246" s="8" t="inlineStr">
        <is>
          <t>6ª Fase</t>
        </is>
      </c>
      <c r="D246" s="8" t="inlineStr">
        <is>
          <t>E</t>
        </is>
      </c>
      <c r="E246" s="8" t="inlineStr">
        <is>
          <t>Sim</t>
        </is>
      </c>
      <c r="F246" s="8" t="n">
        <v>27</v>
      </c>
      <c r="G246" s="8" t="n">
        <v>24</v>
      </c>
      <c r="H246" s="9">
        <f>IF(F246=0,"",G246/F246)</f>
        <v/>
      </c>
    </row>
    <row r="247">
      <c r="A247" s="10" t="inlineStr">
        <is>
          <t>Simulado 01</t>
        </is>
      </c>
      <c r="B247" s="11" t="n">
        <v>13</v>
      </c>
      <c r="C247" s="11" t="inlineStr">
        <is>
          <t>7ª Fase</t>
        </is>
      </c>
      <c r="D247" s="11" t="inlineStr">
        <is>
          <t>A</t>
        </is>
      </c>
      <c r="E247" s="11" t="inlineStr">
        <is>
          <t>Não</t>
        </is>
      </c>
      <c r="F247" s="11" t="n">
        <v>33</v>
      </c>
      <c r="G247" s="11" t="n">
        <v>0</v>
      </c>
      <c r="H247" s="12">
        <f>IF(F247=0,"",G247/F247)</f>
        <v/>
      </c>
    </row>
    <row r="248">
      <c r="A248" s="7" t="inlineStr">
        <is>
          <t>Simulado 01</t>
        </is>
      </c>
      <c r="B248" s="8" t="n">
        <v>13</v>
      </c>
      <c r="C248" s="8" t="inlineStr">
        <is>
          <t>7ª Fase</t>
        </is>
      </c>
      <c r="D248" s="8" t="inlineStr">
        <is>
          <t>B</t>
        </is>
      </c>
      <c r="E248" s="8" t="inlineStr">
        <is>
          <t>Não</t>
        </is>
      </c>
      <c r="F248" s="8" t="n">
        <v>33</v>
      </c>
      <c r="G248" s="8" t="n">
        <v>2</v>
      </c>
      <c r="H248" s="9">
        <f>IF(F248=0,"",G248/F248)</f>
        <v/>
      </c>
    </row>
    <row r="249">
      <c r="A249" s="10" t="inlineStr">
        <is>
          <t>Simulado 01</t>
        </is>
      </c>
      <c r="B249" s="11" t="n">
        <v>13</v>
      </c>
      <c r="C249" s="11" t="inlineStr">
        <is>
          <t>7ª Fase</t>
        </is>
      </c>
      <c r="D249" s="11" t="inlineStr">
        <is>
          <t>C</t>
        </is>
      </c>
      <c r="E249" s="11" t="inlineStr">
        <is>
          <t>Não</t>
        </is>
      </c>
      <c r="F249" s="11" t="n">
        <v>33</v>
      </c>
      <c r="G249" s="11" t="n">
        <v>5</v>
      </c>
      <c r="H249" s="12">
        <f>IF(F249=0,"",G249/F249)</f>
        <v/>
      </c>
    </row>
    <row r="250">
      <c r="A250" s="7" t="inlineStr">
        <is>
          <t>Simulado 01</t>
        </is>
      </c>
      <c r="B250" s="8" t="n">
        <v>13</v>
      </c>
      <c r="C250" s="8" t="inlineStr">
        <is>
          <t>7ª Fase</t>
        </is>
      </c>
      <c r="D250" s="8" t="inlineStr">
        <is>
          <t>D</t>
        </is>
      </c>
      <c r="E250" s="8" t="inlineStr">
        <is>
          <t>Não</t>
        </is>
      </c>
      <c r="F250" s="8" t="n">
        <v>33</v>
      </c>
      <c r="G250" s="8" t="n">
        <v>1</v>
      </c>
      <c r="H250" s="9">
        <f>IF(F250=0,"",G250/F250)</f>
        <v/>
      </c>
    </row>
    <row r="251">
      <c r="A251" s="10" t="inlineStr">
        <is>
          <t>Simulado 01</t>
        </is>
      </c>
      <c r="B251" s="11" t="n">
        <v>13</v>
      </c>
      <c r="C251" s="11" t="inlineStr">
        <is>
          <t>7ª Fase</t>
        </is>
      </c>
      <c r="D251" s="11" t="inlineStr">
        <is>
          <t>E</t>
        </is>
      </c>
      <c r="E251" s="11" t="inlineStr">
        <is>
          <t>Sim</t>
        </is>
      </c>
      <c r="F251" s="11" t="n">
        <v>33</v>
      </c>
      <c r="G251" s="11" t="n">
        <v>25</v>
      </c>
      <c r="H251" s="12">
        <f>IF(F251=0,"",G251/F251)</f>
        <v/>
      </c>
    </row>
    <row r="252">
      <c r="A252" s="7" t="inlineStr">
        <is>
          <t>Simulado 01</t>
        </is>
      </c>
      <c r="B252" s="8" t="n">
        <v>13</v>
      </c>
      <c r="C252" s="8" t="inlineStr">
        <is>
          <t>10ª Fase</t>
        </is>
      </c>
      <c r="D252" s="8" t="inlineStr">
        <is>
          <t>A</t>
        </is>
      </c>
      <c r="E252" s="8" t="inlineStr">
        <is>
          <t>Não</t>
        </is>
      </c>
      <c r="F252" s="8" t="n">
        <v>31</v>
      </c>
      <c r="G252" s="8" t="n">
        <v>0</v>
      </c>
      <c r="H252" s="9">
        <f>IF(F252=0,"",G252/F252)</f>
        <v/>
      </c>
    </row>
    <row r="253">
      <c r="A253" s="10" t="inlineStr">
        <is>
          <t>Simulado 01</t>
        </is>
      </c>
      <c r="B253" s="11" t="n">
        <v>13</v>
      </c>
      <c r="C253" s="11" t="inlineStr">
        <is>
          <t>10ª Fase</t>
        </is>
      </c>
      <c r="D253" s="11" t="inlineStr">
        <is>
          <t>B</t>
        </is>
      </c>
      <c r="E253" s="11" t="inlineStr">
        <is>
          <t>Não</t>
        </is>
      </c>
      <c r="F253" s="11" t="n">
        <v>31</v>
      </c>
      <c r="G253" s="11" t="n">
        <v>3</v>
      </c>
      <c r="H253" s="12">
        <f>IF(F253=0,"",G253/F253)</f>
        <v/>
      </c>
    </row>
    <row r="254">
      <c r="A254" s="7" t="inlineStr">
        <is>
          <t>Simulado 01</t>
        </is>
      </c>
      <c r="B254" s="8" t="n">
        <v>13</v>
      </c>
      <c r="C254" s="8" t="inlineStr">
        <is>
          <t>10ª Fase</t>
        </is>
      </c>
      <c r="D254" s="8" t="inlineStr">
        <is>
          <t>C</t>
        </is>
      </c>
      <c r="E254" s="8" t="inlineStr">
        <is>
          <t>Não</t>
        </is>
      </c>
      <c r="F254" s="8" t="n">
        <v>31</v>
      </c>
      <c r="G254" s="8" t="n">
        <v>4</v>
      </c>
      <c r="H254" s="9">
        <f>IF(F254=0,"",G254/F254)</f>
        <v/>
      </c>
    </row>
    <row r="255">
      <c r="A255" s="10" t="inlineStr">
        <is>
          <t>Simulado 01</t>
        </is>
      </c>
      <c r="B255" s="11" t="n">
        <v>13</v>
      </c>
      <c r="C255" s="11" t="inlineStr">
        <is>
          <t>10ª Fase</t>
        </is>
      </c>
      <c r="D255" s="11" t="inlineStr">
        <is>
          <t>D</t>
        </is>
      </c>
      <c r="E255" s="11" t="inlineStr">
        <is>
          <t>Não</t>
        </is>
      </c>
      <c r="F255" s="11" t="n">
        <v>31</v>
      </c>
      <c r="G255" s="11" t="n">
        <v>0</v>
      </c>
      <c r="H255" s="12">
        <f>IF(F255=0,"",G255/F255)</f>
        <v/>
      </c>
    </row>
    <row r="256">
      <c r="A256" s="7" t="inlineStr">
        <is>
          <t>Simulado 01</t>
        </is>
      </c>
      <c r="B256" s="8" t="n">
        <v>13</v>
      </c>
      <c r="C256" s="8" t="inlineStr">
        <is>
          <t>10ª Fase</t>
        </is>
      </c>
      <c r="D256" s="8" t="inlineStr">
        <is>
          <t>E</t>
        </is>
      </c>
      <c r="E256" s="8" t="inlineStr">
        <is>
          <t>Sim</t>
        </is>
      </c>
      <c r="F256" s="8" t="n">
        <v>31</v>
      </c>
      <c r="G256" s="8" t="n">
        <v>24</v>
      </c>
      <c r="H256" s="9">
        <f>IF(F256=0,"",G256/F256)</f>
        <v/>
      </c>
    </row>
    <row r="257">
      <c r="A257" s="10" t="inlineStr">
        <is>
          <t>Simulado 01</t>
        </is>
      </c>
      <c r="B257" s="11" t="n">
        <v>13</v>
      </c>
      <c r="C257" s="11" t="inlineStr">
        <is>
          <t>11ª Fase</t>
        </is>
      </c>
      <c r="D257" s="11" t="inlineStr">
        <is>
          <t>A</t>
        </is>
      </c>
      <c r="E257" s="11" t="inlineStr">
        <is>
          <t>Não</t>
        </is>
      </c>
      <c r="F257" s="11" t="n">
        <v>27</v>
      </c>
      <c r="G257" s="11" t="n">
        <v>0</v>
      </c>
      <c r="H257" s="12">
        <f>IF(F257=0,"",G257/F257)</f>
        <v/>
      </c>
    </row>
    <row r="258">
      <c r="A258" s="7" t="inlineStr">
        <is>
          <t>Simulado 01</t>
        </is>
      </c>
      <c r="B258" s="8" t="n">
        <v>13</v>
      </c>
      <c r="C258" s="8" t="inlineStr">
        <is>
          <t>11ª Fase</t>
        </is>
      </c>
      <c r="D258" s="8" t="inlineStr">
        <is>
          <t>B</t>
        </is>
      </c>
      <c r="E258" s="8" t="inlineStr">
        <is>
          <t>Não</t>
        </is>
      </c>
      <c r="F258" s="8" t="n">
        <v>27</v>
      </c>
      <c r="G258" s="8" t="n">
        <v>0</v>
      </c>
      <c r="H258" s="9">
        <f>IF(F258=0,"",G258/F258)</f>
        <v/>
      </c>
    </row>
    <row r="259">
      <c r="A259" s="10" t="inlineStr">
        <is>
          <t>Simulado 01</t>
        </is>
      </c>
      <c r="B259" s="11" t="n">
        <v>13</v>
      </c>
      <c r="C259" s="11" t="inlineStr">
        <is>
          <t>11ª Fase</t>
        </is>
      </c>
      <c r="D259" s="11" t="inlineStr">
        <is>
          <t>C</t>
        </is>
      </c>
      <c r="E259" s="11" t="inlineStr">
        <is>
          <t>Não</t>
        </is>
      </c>
      <c r="F259" s="11" t="n">
        <v>27</v>
      </c>
      <c r="G259" s="11" t="n">
        <v>1</v>
      </c>
      <c r="H259" s="12">
        <f>IF(F259=0,"",G259/F259)</f>
        <v/>
      </c>
    </row>
    <row r="260">
      <c r="A260" s="7" t="inlineStr">
        <is>
          <t>Simulado 01</t>
        </is>
      </c>
      <c r="B260" s="8" t="n">
        <v>13</v>
      </c>
      <c r="C260" s="8" t="inlineStr">
        <is>
          <t>11ª Fase</t>
        </is>
      </c>
      <c r="D260" s="8" t="inlineStr">
        <is>
          <t>D</t>
        </is>
      </c>
      <c r="E260" s="8" t="inlineStr">
        <is>
          <t>Não</t>
        </is>
      </c>
      <c r="F260" s="8" t="n">
        <v>27</v>
      </c>
      <c r="G260" s="8" t="n">
        <v>0</v>
      </c>
      <c r="H260" s="9">
        <f>IF(F260=0,"",G260/F260)</f>
        <v/>
      </c>
    </row>
    <row r="261">
      <c r="A261" s="10" t="inlineStr">
        <is>
          <t>Simulado 01</t>
        </is>
      </c>
      <c r="B261" s="11" t="n">
        <v>13</v>
      </c>
      <c r="C261" s="11" t="inlineStr">
        <is>
          <t>11ª Fase</t>
        </is>
      </c>
      <c r="D261" s="11" t="inlineStr">
        <is>
          <t>E</t>
        </is>
      </c>
      <c r="E261" s="11" t="inlineStr">
        <is>
          <t>Sim</t>
        </is>
      </c>
      <c r="F261" s="11" t="n">
        <v>27</v>
      </c>
      <c r="G261" s="11" t="n">
        <v>26</v>
      </c>
      <c r="H261" s="12">
        <f>IF(F261=0,"",G261/F261)</f>
        <v/>
      </c>
    </row>
    <row r="262">
      <c r="A262" s="7" t="inlineStr">
        <is>
          <t>Simulado 01</t>
        </is>
      </c>
      <c r="B262" s="8" t="n">
        <v>14</v>
      </c>
      <c r="C262" s="8" t="inlineStr">
        <is>
          <t>6ª Fase</t>
        </is>
      </c>
      <c r="D262" s="8" t="inlineStr">
        <is>
          <t>A</t>
        </is>
      </c>
      <c r="E262" s="8" t="inlineStr">
        <is>
          <t>Não</t>
        </is>
      </c>
      <c r="F262" s="8" t="n">
        <v>27</v>
      </c>
      <c r="G262" s="8" t="n">
        <v>0</v>
      </c>
      <c r="H262" s="9">
        <f>IF(F262=0,"",G262/F262)</f>
        <v/>
      </c>
    </row>
    <row r="263">
      <c r="A263" s="10" t="inlineStr">
        <is>
          <t>Simulado 01</t>
        </is>
      </c>
      <c r="B263" s="11" t="n">
        <v>14</v>
      </c>
      <c r="C263" s="11" t="inlineStr">
        <is>
          <t>6ª Fase</t>
        </is>
      </c>
      <c r="D263" s="11" t="inlineStr">
        <is>
          <t>B</t>
        </is>
      </c>
      <c r="E263" s="11" t="inlineStr">
        <is>
          <t>Não</t>
        </is>
      </c>
      <c r="F263" s="11" t="n">
        <v>27</v>
      </c>
      <c r="G263" s="11" t="n">
        <v>1</v>
      </c>
      <c r="H263" s="12">
        <f>IF(F263=0,"",G263/F263)</f>
        <v/>
      </c>
    </row>
    <row r="264">
      <c r="A264" s="7" t="inlineStr">
        <is>
          <t>Simulado 01</t>
        </is>
      </c>
      <c r="B264" s="8" t="n">
        <v>14</v>
      </c>
      <c r="C264" s="8" t="inlineStr">
        <is>
          <t>6ª Fase</t>
        </is>
      </c>
      <c r="D264" s="8" t="inlineStr">
        <is>
          <t>C</t>
        </is>
      </c>
      <c r="E264" s="8" t="inlineStr">
        <is>
          <t>Sim</t>
        </is>
      </c>
      <c r="F264" s="8" t="n">
        <v>27</v>
      </c>
      <c r="G264" s="8" t="n">
        <v>7</v>
      </c>
      <c r="H264" s="9">
        <f>IF(F264=0,"",G264/F264)</f>
        <v/>
      </c>
    </row>
    <row r="265">
      <c r="A265" s="10" t="inlineStr">
        <is>
          <t>Simulado 01</t>
        </is>
      </c>
      <c r="B265" s="11" t="n">
        <v>14</v>
      </c>
      <c r="C265" s="11" t="inlineStr">
        <is>
          <t>6ª Fase</t>
        </is>
      </c>
      <c r="D265" s="11" t="inlineStr">
        <is>
          <t>D</t>
        </is>
      </c>
      <c r="E265" s="11" t="inlineStr">
        <is>
          <t>Não</t>
        </is>
      </c>
      <c r="F265" s="11" t="n">
        <v>27</v>
      </c>
      <c r="G265" s="11" t="n">
        <v>19</v>
      </c>
      <c r="H265" s="12">
        <f>IF(F265=0,"",G265/F265)</f>
        <v/>
      </c>
    </row>
    <row r="266">
      <c r="A266" s="7" t="inlineStr">
        <is>
          <t>Simulado 01</t>
        </is>
      </c>
      <c r="B266" s="8" t="n">
        <v>14</v>
      </c>
      <c r="C266" s="8" t="inlineStr">
        <is>
          <t>6ª Fase</t>
        </is>
      </c>
      <c r="D266" s="8" t="inlineStr">
        <is>
          <t>E</t>
        </is>
      </c>
      <c r="E266" s="8" t="inlineStr">
        <is>
          <t>Não</t>
        </is>
      </c>
      <c r="F266" s="8" t="n">
        <v>27</v>
      </c>
      <c r="G266" s="8" t="n">
        <v>0</v>
      </c>
      <c r="H266" s="9">
        <f>IF(F266=0,"",G266/F266)</f>
        <v/>
      </c>
    </row>
    <row r="267">
      <c r="A267" s="10" t="inlineStr">
        <is>
          <t>Simulado 01</t>
        </is>
      </c>
      <c r="B267" s="11" t="n">
        <v>14</v>
      </c>
      <c r="C267" s="11" t="inlineStr">
        <is>
          <t>7ª Fase</t>
        </is>
      </c>
      <c r="D267" s="11" t="inlineStr">
        <is>
          <t>A</t>
        </is>
      </c>
      <c r="E267" s="11" t="inlineStr">
        <is>
          <t>Não</t>
        </is>
      </c>
      <c r="F267" s="11" t="n">
        <v>33</v>
      </c>
      <c r="G267" s="11" t="n">
        <v>0</v>
      </c>
      <c r="H267" s="12">
        <f>IF(F267=0,"",G267/F267)</f>
        <v/>
      </c>
    </row>
    <row r="268">
      <c r="A268" s="7" t="inlineStr">
        <is>
          <t>Simulado 01</t>
        </is>
      </c>
      <c r="B268" s="8" t="n">
        <v>14</v>
      </c>
      <c r="C268" s="8" t="inlineStr">
        <is>
          <t>7ª Fase</t>
        </is>
      </c>
      <c r="D268" s="8" t="inlineStr">
        <is>
          <t>B</t>
        </is>
      </c>
      <c r="E268" s="8" t="inlineStr">
        <is>
          <t>Não</t>
        </is>
      </c>
      <c r="F268" s="8" t="n">
        <v>33</v>
      </c>
      <c r="G268" s="8" t="n">
        <v>3</v>
      </c>
      <c r="H268" s="9">
        <f>IF(F268=0,"",G268/F268)</f>
        <v/>
      </c>
    </row>
    <row r="269">
      <c r="A269" s="10" t="inlineStr">
        <is>
          <t>Simulado 01</t>
        </is>
      </c>
      <c r="B269" s="11" t="n">
        <v>14</v>
      </c>
      <c r="C269" s="11" t="inlineStr">
        <is>
          <t>7ª Fase</t>
        </is>
      </c>
      <c r="D269" s="11" t="inlineStr">
        <is>
          <t>C</t>
        </is>
      </c>
      <c r="E269" s="11" t="inlineStr">
        <is>
          <t>Sim</t>
        </is>
      </c>
      <c r="F269" s="11" t="n">
        <v>33</v>
      </c>
      <c r="G269" s="11" t="n">
        <v>7</v>
      </c>
      <c r="H269" s="12">
        <f>IF(F269=0,"",G269/F269)</f>
        <v/>
      </c>
    </row>
    <row r="270">
      <c r="A270" s="7" t="inlineStr">
        <is>
          <t>Simulado 01</t>
        </is>
      </c>
      <c r="B270" s="8" t="n">
        <v>14</v>
      </c>
      <c r="C270" s="8" t="inlineStr">
        <is>
          <t>7ª Fase</t>
        </is>
      </c>
      <c r="D270" s="8" t="inlineStr">
        <is>
          <t>D</t>
        </is>
      </c>
      <c r="E270" s="8" t="inlineStr">
        <is>
          <t>Não</t>
        </is>
      </c>
      <c r="F270" s="8" t="n">
        <v>33</v>
      </c>
      <c r="G270" s="8" t="n">
        <v>22</v>
      </c>
      <c r="H270" s="9">
        <f>IF(F270=0,"",G270/F270)</f>
        <v/>
      </c>
    </row>
    <row r="271">
      <c r="A271" s="10" t="inlineStr">
        <is>
          <t>Simulado 01</t>
        </is>
      </c>
      <c r="B271" s="11" t="n">
        <v>14</v>
      </c>
      <c r="C271" s="11" t="inlineStr">
        <is>
          <t>7ª Fase</t>
        </is>
      </c>
      <c r="D271" s="11" t="inlineStr">
        <is>
          <t>E</t>
        </is>
      </c>
      <c r="E271" s="11" t="inlineStr">
        <is>
          <t>Não</t>
        </is>
      </c>
      <c r="F271" s="11" t="n">
        <v>33</v>
      </c>
      <c r="G271" s="11" t="n">
        <v>1</v>
      </c>
      <c r="H271" s="12">
        <f>IF(F271=0,"",G271/F271)</f>
        <v/>
      </c>
    </row>
    <row r="272">
      <c r="A272" s="7" t="inlineStr">
        <is>
          <t>Simulado 01</t>
        </is>
      </c>
      <c r="B272" s="8" t="n">
        <v>14</v>
      </c>
      <c r="C272" s="8" t="inlineStr">
        <is>
          <t>10ª Fase</t>
        </is>
      </c>
      <c r="D272" s="8" t="inlineStr">
        <is>
          <t>A</t>
        </is>
      </c>
      <c r="E272" s="8" t="inlineStr">
        <is>
          <t>Não</t>
        </is>
      </c>
      <c r="F272" s="8" t="n">
        <v>31</v>
      </c>
      <c r="G272" s="8" t="n">
        <v>0</v>
      </c>
      <c r="H272" s="9">
        <f>IF(F272=0,"",G272/F272)</f>
        <v/>
      </c>
    </row>
    <row r="273">
      <c r="A273" s="10" t="inlineStr">
        <is>
          <t>Simulado 01</t>
        </is>
      </c>
      <c r="B273" s="11" t="n">
        <v>14</v>
      </c>
      <c r="C273" s="11" t="inlineStr">
        <is>
          <t>10ª Fase</t>
        </is>
      </c>
      <c r="D273" s="11" t="inlineStr">
        <is>
          <t>B</t>
        </is>
      </c>
      <c r="E273" s="11" t="inlineStr">
        <is>
          <t>Não</t>
        </is>
      </c>
      <c r="F273" s="11" t="n">
        <v>31</v>
      </c>
      <c r="G273" s="11" t="n">
        <v>2</v>
      </c>
      <c r="H273" s="12">
        <f>IF(F273=0,"",G273/F273)</f>
        <v/>
      </c>
    </row>
    <row r="274">
      <c r="A274" s="7" t="inlineStr">
        <is>
          <t>Simulado 01</t>
        </is>
      </c>
      <c r="B274" s="8" t="n">
        <v>14</v>
      </c>
      <c r="C274" s="8" t="inlineStr">
        <is>
          <t>10ª Fase</t>
        </is>
      </c>
      <c r="D274" s="8" t="inlineStr">
        <is>
          <t>C</t>
        </is>
      </c>
      <c r="E274" s="8" t="inlineStr">
        <is>
          <t>Sim</t>
        </is>
      </c>
      <c r="F274" s="8" t="n">
        <v>31</v>
      </c>
      <c r="G274" s="8" t="n">
        <v>9</v>
      </c>
      <c r="H274" s="9">
        <f>IF(F274=0,"",G274/F274)</f>
        <v/>
      </c>
    </row>
    <row r="275">
      <c r="A275" s="10" t="inlineStr">
        <is>
          <t>Simulado 01</t>
        </is>
      </c>
      <c r="B275" s="11" t="n">
        <v>14</v>
      </c>
      <c r="C275" s="11" t="inlineStr">
        <is>
          <t>10ª Fase</t>
        </is>
      </c>
      <c r="D275" s="11" t="inlineStr">
        <is>
          <t>D</t>
        </is>
      </c>
      <c r="E275" s="11" t="inlineStr">
        <is>
          <t>Não</t>
        </is>
      </c>
      <c r="F275" s="11" t="n">
        <v>31</v>
      </c>
      <c r="G275" s="11" t="n">
        <v>20</v>
      </c>
      <c r="H275" s="12">
        <f>IF(F275=0,"",G275/F275)</f>
        <v/>
      </c>
    </row>
    <row r="276">
      <c r="A276" s="7" t="inlineStr">
        <is>
          <t>Simulado 01</t>
        </is>
      </c>
      <c r="B276" s="8" t="n">
        <v>14</v>
      </c>
      <c r="C276" s="8" t="inlineStr">
        <is>
          <t>10ª Fase</t>
        </is>
      </c>
      <c r="D276" s="8" t="inlineStr">
        <is>
          <t>E</t>
        </is>
      </c>
      <c r="E276" s="8" t="inlineStr">
        <is>
          <t>Não</t>
        </is>
      </c>
      <c r="F276" s="8" t="n">
        <v>31</v>
      </c>
      <c r="G276" s="8" t="n">
        <v>0</v>
      </c>
      <c r="H276" s="9">
        <f>IF(F276=0,"",G276/F276)</f>
        <v/>
      </c>
    </row>
    <row r="277">
      <c r="A277" s="10" t="inlineStr">
        <is>
          <t>Simulado 01</t>
        </is>
      </c>
      <c r="B277" s="11" t="n">
        <v>14</v>
      </c>
      <c r="C277" s="11" t="inlineStr">
        <is>
          <t>11ª Fase</t>
        </is>
      </c>
      <c r="D277" s="11" t="inlineStr">
        <is>
          <t>A</t>
        </is>
      </c>
      <c r="E277" s="11" t="inlineStr">
        <is>
          <t>Não</t>
        </is>
      </c>
      <c r="F277" s="11" t="n">
        <v>27</v>
      </c>
      <c r="G277" s="11" t="n">
        <v>0</v>
      </c>
      <c r="H277" s="12">
        <f>IF(F277=0,"",G277/F277)</f>
        <v/>
      </c>
    </row>
    <row r="278">
      <c r="A278" s="7" t="inlineStr">
        <is>
          <t>Simulado 01</t>
        </is>
      </c>
      <c r="B278" s="8" t="n">
        <v>14</v>
      </c>
      <c r="C278" s="8" t="inlineStr">
        <is>
          <t>11ª Fase</t>
        </is>
      </c>
      <c r="D278" s="8" t="inlineStr">
        <is>
          <t>B</t>
        </is>
      </c>
      <c r="E278" s="8" t="inlineStr">
        <is>
          <t>Não</t>
        </is>
      </c>
      <c r="F278" s="8" t="n">
        <v>27</v>
      </c>
      <c r="G278" s="8" t="n">
        <v>1</v>
      </c>
      <c r="H278" s="9">
        <f>IF(F278=0,"",G278/F278)</f>
        <v/>
      </c>
    </row>
    <row r="279">
      <c r="A279" s="10" t="inlineStr">
        <is>
          <t>Simulado 01</t>
        </is>
      </c>
      <c r="B279" s="11" t="n">
        <v>14</v>
      </c>
      <c r="C279" s="11" t="inlineStr">
        <is>
          <t>11ª Fase</t>
        </is>
      </c>
      <c r="D279" s="11" t="inlineStr">
        <is>
          <t>C</t>
        </is>
      </c>
      <c r="E279" s="11" t="inlineStr">
        <is>
          <t>Sim</t>
        </is>
      </c>
      <c r="F279" s="11" t="n">
        <v>27</v>
      </c>
      <c r="G279" s="11" t="n">
        <v>3</v>
      </c>
      <c r="H279" s="12">
        <f>IF(F279=0,"",G279/F279)</f>
        <v/>
      </c>
    </row>
    <row r="280">
      <c r="A280" s="7" t="inlineStr">
        <is>
          <t>Simulado 01</t>
        </is>
      </c>
      <c r="B280" s="8" t="n">
        <v>14</v>
      </c>
      <c r="C280" s="8" t="inlineStr">
        <is>
          <t>11ª Fase</t>
        </is>
      </c>
      <c r="D280" s="8" t="inlineStr">
        <is>
          <t>D</t>
        </is>
      </c>
      <c r="E280" s="8" t="inlineStr">
        <is>
          <t>Não</t>
        </is>
      </c>
      <c r="F280" s="8" t="n">
        <v>27</v>
      </c>
      <c r="G280" s="8" t="n">
        <v>22</v>
      </c>
      <c r="H280" s="9">
        <f>IF(F280=0,"",G280/F280)</f>
        <v/>
      </c>
    </row>
    <row r="281">
      <c r="A281" s="10" t="inlineStr">
        <is>
          <t>Simulado 01</t>
        </is>
      </c>
      <c r="B281" s="11" t="n">
        <v>14</v>
      </c>
      <c r="C281" s="11" t="inlineStr">
        <is>
          <t>11ª Fase</t>
        </is>
      </c>
      <c r="D281" s="11" t="inlineStr">
        <is>
          <t>E</t>
        </is>
      </c>
      <c r="E281" s="11" t="inlineStr">
        <is>
          <t>Não</t>
        </is>
      </c>
      <c r="F281" s="11" t="n">
        <v>27</v>
      </c>
      <c r="G281" s="11" t="n">
        <v>1</v>
      </c>
      <c r="H281" s="12">
        <f>IF(F281=0,"",G281/F281)</f>
        <v/>
      </c>
    </row>
    <row r="282">
      <c r="A282" s="7" t="inlineStr">
        <is>
          <t>Simulado 01</t>
        </is>
      </c>
      <c r="B282" s="8" t="n">
        <v>15</v>
      </c>
      <c r="C282" s="8" t="inlineStr">
        <is>
          <t>6ª Fase</t>
        </is>
      </c>
      <c r="D282" s="8" t="inlineStr">
        <is>
          <t>A</t>
        </is>
      </c>
      <c r="E282" s="8" t="inlineStr">
        <is>
          <t>Não</t>
        </is>
      </c>
      <c r="F282" s="8" t="n">
        <v>27</v>
      </c>
      <c r="G282" s="8" t="n">
        <v>4</v>
      </c>
      <c r="H282" s="9">
        <f>IF(F282=0,"",G282/F282)</f>
        <v/>
      </c>
    </row>
    <row r="283">
      <c r="A283" s="10" t="inlineStr">
        <is>
          <t>Simulado 01</t>
        </is>
      </c>
      <c r="B283" s="11" t="n">
        <v>15</v>
      </c>
      <c r="C283" s="11" t="inlineStr">
        <is>
          <t>6ª Fase</t>
        </is>
      </c>
      <c r="D283" s="11" t="inlineStr">
        <is>
          <t>B</t>
        </is>
      </c>
      <c r="E283" s="11" t="inlineStr">
        <is>
          <t>Não</t>
        </is>
      </c>
      <c r="F283" s="11" t="n">
        <v>27</v>
      </c>
      <c r="G283" s="11" t="n">
        <v>2</v>
      </c>
      <c r="H283" s="12">
        <f>IF(F283=0,"",G283/F283)</f>
        <v/>
      </c>
    </row>
    <row r="284">
      <c r="A284" s="7" t="inlineStr">
        <is>
          <t>Simulado 01</t>
        </is>
      </c>
      <c r="B284" s="8" t="n">
        <v>15</v>
      </c>
      <c r="C284" s="8" t="inlineStr">
        <is>
          <t>6ª Fase</t>
        </is>
      </c>
      <c r="D284" s="8" t="inlineStr">
        <is>
          <t>C</t>
        </is>
      </c>
      <c r="E284" s="8" t="inlineStr">
        <is>
          <t>Não</t>
        </is>
      </c>
      <c r="F284" s="8" t="n">
        <v>27</v>
      </c>
      <c r="G284" s="8" t="n">
        <v>6</v>
      </c>
      <c r="H284" s="9">
        <f>IF(F284=0,"",G284/F284)</f>
        <v/>
      </c>
    </row>
    <row r="285">
      <c r="A285" s="10" t="inlineStr">
        <is>
          <t>Simulado 01</t>
        </is>
      </c>
      <c r="B285" s="11" t="n">
        <v>15</v>
      </c>
      <c r="C285" s="11" t="inlineStr">
        <is>
          <t>6ª Fase</t>
        </is>
      </c>
      <c r="D285" s="11" t="inlineStr">
        <is>
          <t>D</t>
        </is>
      </c>
      <c r="E285" s="11" t="inlineStr">
        <is>
          <t>Não</t>
        </is>
      </c>
      <c r="F285" s="11" t="n">
        <v>27</v>
      </c>
      <c r="G285" s="11" t="n">
        <v>1</v>
      </c>
      <c r="H285" s="12">
        <f>IF(F285=0,"",G285/F285)</f>
        <v/>
      </c>
    </row>
    <row r="286">
      <c r="A286" s="7" t="inlineStr">
        <is>
          <t>Simulado 01</t>
        </is>
      </c>
      <c r="B286" s="8" t="n">
        <v>15</v>
      </c>
      <c r="C286" s="8" t="inlineStr">
        <is>
          <t>6ª Fase</t>
        </is>
      </c>
      <c r="D286" s="8" t="inlineStr">
        <is>
          <t>E</t>
        </is>
      </c>
      <c r="E286" s="8" t="inlineStr">
        <is>
          <t>Sim</t>
        </is>
      </c>
      <c r="F286" s="8" t="n">
        <v>27</v>
      </c>
      <c r="G286" s="8" t="n">
        <v>14</v>
      </c>
      <c r="H286" s="9">
        <f>IF(F286=0,"",G286/F286)</f>
        <v/>
      </c>
    </row>
    <row r="287">
      <c r="A287" s="10" t="inlineStr">
        <is>
          <t>Simulado 01</t>
        </is>
      </c>
      <c r="B287" s="11" t="n">
        <v>15</v>
      </c>
      <c r="C287" s="11" t="inlineStr">
        <is>
          <t>7ª Fase</t>
        </is>
      </c>
      <c r="D287" s="11" t="inlineStr">
        <is>
          <t>A</t>
        </is>
      </c>
      <c r="E287" s="11" t="inlineStr">
        <is>
          <t>Não</t>
        </is>
      </c>
      <c r="F287" s="11" t="n">
        <v>33</v>
      </c>
      <c r="G287" s="11" t="n">
        <v>3</v>
      </c>
      <c r="H287" s="12">
        <f>IF(F287=0,"",G287/F287)</f>
        <v/>
      </c>
    </row>
    <row r="288">
      <c r="A288" s="7" t="inlineStr">
        <is>
          <t>Simulado 01</t>
        </is>
      </c>
      <c r="B288" s="8" t="n">
        <v>15</v>
      </c>
      <c r="C288" s="8" t="inlineStr">
        <is>
          <t>7ª Fase</t>
        </is>
      </c>
      <c r="D288" s="8" t="inlineStr">
        <is>
          <t>B</t>
        </is>
      </c>
      <c r="E288" s="8" t="inlineStr">
        <is>
          <t>Não</t>
        </is>
      </c>
      <c r="F288" s="8" t="n">
        <v>33</v>
      </c>
      <c r="G288" s="8" t="n">
        <v>2</v>
      </c>
      <c r="H288" s="9">
        <f>IF(F288=0,"",G288/F288)</f>
        <v/>
      </c>
    </row>
    <row r="289">
      <c r="A289" s="10" t="inlineStr">
        <is>
          <t>Simulado 01</t>
        </is>
      </c>
      <c r="B289" s="11" t="n">
        <v>15</v>
      </c>
      <c r="C289" s="11" t="inlineStr">
        <is>
          <t>7ª Fase</t>
        </is>
      </c>
      <c r="D289" s="11" t="inlineStr">
        <is>
          <t>C</t>
        </is>
      </c>
      <c r="E289" s="11" t="inlineStr">
        <is>
          <t>Não</t>
        </is>
      </c>
      <c r="F289" s="11" t="n">
        <v>33</v>
      </c>
      <c r="G289" s="11" t="n">
        <v>3</v>
      </c>
      <c r="H289" s="12">
        <f>IF(F289=0,"",G289/F289)</f>
        <v/>
      </c>
    </row>
    <row r="290">
      <c r="A290" s="7" t="inlineStr">
        <is>
          <t>Simulado 01</t>
        </is>
      </c>
      <c r="B290" s="8" t="n">
        <v>15</v>
      </c>
      <c r="C290" s="8" t="inlineStr">
        <is>
          <t>7ª Fase</t>
        </is>
      </c>
      <c r="D290" s="8" t="inlineStr">
        <is>
          <t>D</t>
        </is>
      </c>
      <c r="E290" s="8" t="inlineStr">
        <is>
          <t>Não</t>
        </is>
      </c>
      <c r="F290" s="8" t="n">
        <v>33</v>
      </c>
      <c r="G290" s="8" t="n">
        <v>4</v>
      </c>
      <c r="H290" s="9">
        <f>IF(F290=0,"",G290/F290)</f>
        <v/>
      </c>
    </row>
    <row r="291">
      <c r="A291" s="10" t="inlineStr">
        <is>
          <t>Simulado 01</t>
        </is>
      </c>
      <c r="B291" s="11" t="n">
        <v>15</v>
      </c>
      <c r="C291" s="11" t="inlineStr">
        <is>
          <t>7ª Fase</t>
        </is>
      </c>
      <c r="D291" s="11" t="inlineStr">
        <is>
          <t>E</t>
        </is>
      </c>
      <c r="E291" s="11" t="inlineStr">
        <is>
          <t>Sim</t>
        </is>
      </c>
      <c r="F291" s="11" t="n">
        <v>33</v>
      </c>
      <c r="G291" s="11" t="n">
        <v>21</v>
      </c>
      <c r="H291" s="12">
        <f>IF(F291=0,"",G291/F291)</f>
        <v/>
      </c>
    </row>
    <row r="292">
      <c r="A292" s="7" t="inlineStr">
        <is>
          <t>Simulado 01</t>
        </is>
      </c>
      <c r="B292" s="8" t="n">
        <v>15</v>
      </c>
      <c r="C292" s="8" t="inlineStr">
        <is>
          <t>10ª Fase</t>
        </is>
      </c>
      <c r="D292" s="8" t="inlineStr">
        <is>
          <t>A</t>
        </is>
      </c>
      <c r="E292" s="8" t="inlineStr">
        <is>
          <t>Não</t>
        </is>
      </c>
      <c r="F292" s="8" t="n">
        <v>31</v>
      </c>
      <c r="G292" s="8" t="n">
        <v>4</v>
      </c>
      <c r="H292" s="9">
        <f>IF(F292=0,"",G292/F292)</f>
        <v/>
      </c>
    </row>
    <row r="293">
      <c r="A293" s="10" t="inlineStr">
        <is>
          <t>Simulado 01</t>
        </is>
      </c>
      <c r="B293" s="11" t="n">
        <v>15</v>
      </c>
      <c r="C293" s="11" t="inlineStr">
        <is>
          <t>10ª Fase</t>
        </is>
      </c>
      <c r="D293" s="11" t="inlineStr">
        <is>
          <t>B</t>
        </is>
      </c>
      <c r="E293" s="11" t="inlineStr">
        <is>
          <t>Não</t>
        </is>
      </c>
      <c r="F293" s="11" t="n">
        <v>31</v>
      </c>
      <c r="G293" s="11" t="n">
        <v>1</v>
      </c>
      <c r="H293" s="12">
        <f>IF(F293=0,"",G293/F293)</f>
        <v/>
      </c>
    </row>
    <row r="294">
      <c r="A294" s="7" t="inlineStr">
        <is>
          <t>Simulado 01</t>
        </is>
      </c>
      <c r="B294" s="8" t="n">
        <v>15</v>
      </c>
      <c r="C294" s="8" t="inlineStr">
        <is>
          <t>10ª Fase</t>
        </is>
      </c>
      <c r="D294" s="8" t="inlineStr">
        <is>
          <t>C</t>
        </is>
      </c>
      <c r="E294" s="8" t="inlineStr">
        <is>
          <t>Não</t>
        </is>
      </c>
      <c r="F294" s="8" t="n">
        <v>31</v>
      </c>
      <c r="G294" s="8" t="n">
        <v>4</v>
      </c>
      <c r="H294" s="9">
        <f>IF(F294=0,"",G294/F294)</f>
        <v/>
      </c>
    </row>
    <row r="295">
      <c r="A295" s="10" t="inlineStr">
        <is>
          <t>Simulado 01</t>
        </is>
      </c>
      <c r="B295" s="11" t="n">
        <v>15</v>
      </c>
      <c r="C295" s="11" t="inlineStr">
        <is>
          <t>10ª Fase</t>
        </is>
      </c>
      <c r="D295" s="11" t="inlineStr">
        <is>
          <t>D</t>
        </is>
      </c>
      <c r="E295" s="11" t="inlineStr">
        <is>
          <t>Não</t>
        </is>
      </c>
      <c r="F295" s="11" t="n">
        <v>31</v>
      </c>
      <c r="G295" s="11" t="n">
        <v>3</v>
      </c>
      <c r="H295" s="12">
        <f>IF(F295=0,"",G295/F295)</f>
        <v/>
      </c>
    </row>
    <row r="296">
      <c r="A296" s="7" t="inlineStr">
        <is>
          <t>Simulado 01</t>
        </is>
      </c>
      <c r="B296" s="8" t="n">
        <v>15</v>
      </c>
      <c r="C296" s="8" t="inlineStr">
        <is>
          <t>10ª Fase</t>
        </is>
      </c>
      <c r="D296" s="8" t="inlineStr">
        <is>
          <t>E</t>
        </is>
      </c>
      <c r="E296" s="8" t="inlineStr">
        <is>
          <t>Sim</t>
        </is>
      </c>
      <c r="F296" s="8" t="n">
        <v>31</v>
      </c>
      <c r="G296" s="8" t="n">
        <v>19</v>
      </c>
      <c r="H296" s="9">
        <f>IF(F296=0,"",G296/F296)</f>
        <v/>
      </c>
    </row>
    <row r="297">
      <c r="A297" s="10" t="inlineStr">
        <is>
          <t>Simulado 01</t>
        </is>
      </c>
      <c r="B297" s="11" t="n">
        <v>15</v>
      </c>
      <c r="C297" s="11" t="inlineStr">
        <is>
          <t>11ª Fase</t>
        </is>
      </c>
      <c r="D297" s="11" t="inlineStr">
        <is>
          <t>A</t>
        </is>
      </c>
      <c r="E297" s="11" t="inlineStr">
        <is>
          <t>Não</t>
        </is>
      </c>
      <c r="F297" s="11" t="n">
        <v>27</v>
      </c>
      <c r="G297" s="11" t="n">
        <v>6</v>
      </c>
      <c r="H297" s="12">
        <f>IF(F297=0,"",G297/F297)</f>
        <v/>
      </c>
    </row>
    <row r="298">
      <c r="A298" s="7" t="inlineStr">
        <is>
          <t>Simulado 01</t>
        </is>
      </c>
      <c r="B298" s="8" t="n">
        <v>15</v>
      </c>
      <c r="C298" s="8" t="inlineStr">
        <is>
          <t>11ª Fase</t>
        </is>
      </c>
      <c r="D298" s="8" t="inlineStr">
        <is>
          <t>B</t>
        </is>
      </c>
      <c r="E298" s="8" t="inlineStr">
        <is>
          <t>Não</t>
        </is>
      </c>
      <c r="F298" s="8" t="n">
        <v>27</v>
      </c>
      <c r="G298" s="8" t="n">
        <v>0</v>
      </c>
      <c r="H298" s="9">
        <f>IF(F298=0,"",G298/F298)</f>
        <v/>
      </c>
    </row>
    <row r="299">
      <c r="A299" s="10" t="inlineStr">
        <is>
          <t>Simulado 01</t>
        </is>
      </c>
      <c r="B299" s="11" t="n">
        <v>15</v>
      </c>
      <c r="C299" s="11" t="inlineStr">
        <is>
          <t>11ª Fase</t>
        </is>
      </c>
      <c r="D299" s="11" t="inlineStr">
        <is>
          <t>C</t>
        </is>
      </c>
      <c r="E299" s="11" t="inlineStr">
        <is>
          <t>Não</t>
        </is>
      </c>
      <c r="F299" s="11" t="n">
        <v>27</v>
      </c>
      <c r="G299" s="11" t="n">
        <v>1</v>
      </c>
      <c r="H299" s="12">
        <f>IF(F299=0,"",G299/F299)</f>
        <v/>
      </c>
    </row>
    <row r="300">
      <c r="A300" s="7" t="inlineStr">
        <is>
          <t>Simulado 01</t>
        </is>
      </c>
      <c r="B300" s="8" t="n">
        <v>15</v>
      </c>
      <c r="C300" s="8" t="inlineStr">
        <is>
          <t>11ª Fase</t>
        </is>
      </c>
      <c r="D300" s="8" t="inlineStr">
        <is>
          <t>D</t>
        </is>
      </c>
      <c r="E300" s="8" t="inlineStr">
        <is>
          <t>Não</t>
        </is>
      </c>
      <c r="F300" s="8" t="n">
        <v>27</v>
      </c>
      <c r="G300" s="8" t="n">
        <v>2</v>
      </c>
      <c r="H300" s="9">
        <f>IF(F300=0,"",G300/F300)</f>
        <v/>
      </c>
    </row>
    <row r="301">
      <c r="A301" s="10" t="inlineStr">
        <is>
          <t>Simulado 01</t>
        </is>
      </c>
      <c r="B301" s="11" t="n">
        <v>15</v>
      </c>
      <c r="C301" s="11" t="inlineStr">
        <is>
          <t>11ª Fase</t>
        </is>
      </c>
      <c r="D301" s="11" t="inlineStr">
        <is>
          <t>E</t>
        </is>
      </c>
      <c r="E301" s="11" t="inlineStr">
        <is>
          <t>Sim</t>
        </is>
      </c>
      <c r="F301" s="11" t="n">
        <v>27</v>
      </c>
      <c r="G301" s="11" t="n">
        <v>18</v>
      </c>
      <c r="H301" s="12">
        <f>IF(F301=0,"",G301/F301)</f>
        <v/>
      </c>
    </row>
    <row r="302">
      <c r="A302" s="7" t="inlineStr">
        <is>
          <t>Simulado 01</t>
        </is>
      </c>
      <c r="B302" s="8" t="n">
        <v>16</v>
      </c>
      <c r="C302" s="8" t="inlineStr">
        <is>
          <t>6ª Fase</t>
        </is>
      </c>
      <c r="D302" s="8" t="inlineStr">
        <is>
          <t>A</t>
        </is>
      </c>
      <c r="E302" s="8" t="inlineStr">
        <is>
          <t>Não</t>
        </is>
      </c>
      <c r="F302" s="8" t="n">
        <v>27</v>
      </c>
      <c r="G302" s="8" t="n">
        <v>3</v>
      </c>
      <c r="H302" s="9">
        <f>IF(F302=0,"",G302/F302)</f>
        <v/>
      </c>
    </row>
    <row r="303">
      <c r="A303" s="10" t="inlineStr">
        <is>
          <t>Simulado 01</t>
        </is>
      </c>
      <c r="B303" s="11" t="n">
        <v>16</v>
      </c>
      <c r="C303" s="11" t="inlineStr">
        <is>
          <t>6ª Fase</t>
        </is>
      </c>
      <c r="D303" s="11" t="inlineStr">
        <is>
          <t>B</t>
        </is>
      </c>
      <c r="E303" s="11" t="inlineStr">
        <is>
          <t>Sim</t>
        </is>
      </c>
      <c r="F303" s="11" t="n">
        <v>27</v>
      </c>
      <c r="G303" s="11" t="n">
        <v>22</v>
      </c>
      <c r="H303" s="12">
        <f>IF(F303=0,"",G303/F303)</f>
        <v/>
      </c>
    </row>
    <row r="304">
      <c r="A304" s="7" t="inlineStr">
        <is>
          <t>Simulado 01</t>
        </is>
      </c>
      <c r="B304" s="8" t="n">
        <v>16</v>
      </c>
      <c r="C304" s="8" t="inlineStr">
        <is>
          <t>6ª Fase</t>
        </is>
      </c>
      <c r="D304" s="8" t="inlineStr">
        <is>
          <t>C</t>
        </is>
      </c>
      <c r="E304" s="8" t="inlineStr">
        <is>
          <t>Não</t>
        </is>
      </c>
      <c r="F304" s="8" t="n">
        <v>27</v>
      </c>
      <c r="G304" s="8" t="n">
        <v>1</v>
      </c>
      <c r="H304" s="9">
        <f>IF(F304=0,"",G304/F304)</f>
        <v/>
      </c>
    </row>
    <row r="305">
      <c r="A305" s="10" t="inlineStr">
        <is>
          <t>Simulado 01</t>
        </is>
      </c>
      <c r="B305" s="11" t="n">
        <v>16</v>
      </c>
      <c r="C305" s="11" t="inlineStr">
        <is>
          <t>6ª Fase</t>
        </is>
      </c>
      <c r="D305" s="11" t="inlineStr">
        <is>
          <t>D</t>
        </is>
      </c>
      <c r="E305" s="11" t="inlineStr">
        <is>
          <t>Não</t>
        </is>
      </c>
      <c r="F305" s="11" t="n">
        <v>27</v>
      </c>
      <c r="G305" s="11" t="n">
        <v>1</v>
      </c>
      <c r="H305" s="12">
        <f>IF(F305=0,"",G305/F305)</f>
        <v/>
      </c>
    </row>
    <row r="306">
      <c r="A306" s="7" t="inlineStr">
        <is>
          <t>Simulado 01</t>
        </is>
      </c>
      <c r="B306" s="8" t="n">
        <v>16</v>
      </c>
      <c r="C306" s="8" t="inlineStr">
        <is>
          <t>6ª Fase</t>
        </is>
      </c>
      <c r="D306" s="8" t="inlineStr">
        <is>
          <t>E</t>
        </is>
      </c>
      <c r="E306" s="8" t="inlineStr">
        <is>
          <t>Não</t>
        </is>
      </c>
      <c r="F306" s="8" t="n">
        <v>27</v>
      </c>
      <c r="G306" s="8" t="n">
        <v>0</v>
      </c>
      <c r="H306" s="9">
        <f>IF(F306=0,"",G306/F306)</f>
        <v/>
      </c>
    </row>
    <row r="307">
      <c r="A307" s="10" t="inlineStr">
        <is>
          <t>Simulado 01</t>
        </is>
      </c>
      <c r="B307" s="11" t="n">
        <v>16</v>
      </c>
      <c r="C307" s="11" t="inlineStr">
        <is>
          <t>7ª Fase</t>
        </is>
      </c>
      <c r="D307" s="11" t="inlineStr">
        <is>
          <t>A</t>
        </is>
      </c>
      <c r="E307" s="11" t="inlineStr">
        <is>
          <t>Não</t>
        </is>
      </c>
      <c r="F307" s="11" t="n">
        <v>33</v>
      </c>
      <c r="G307" s="11" t="n">
        <v>2</v>
      </c>
      <c r="H307" s="12">
        <f>IF(F307=0,"",G307/F307)</f>
        <v/>
      </c>
    </row>
    <row r="308">
      <c r="A308" s="7" t="inlineStr">
        <is>
          <t>Simulado 01</t>
        </is>
      </c>
      <c r="B308" s="8" t="n">
        <v>16</v>
      </c>
      <c r="C308" s="8" t="inlineStr">
        <is>
          <t>7ª Fase</t>
        </is>
      </c>
      <c r="D308" s="8" t="inlineStr">
        <is>
          <t>B</t>
        </is>
      </c>
      <c r="E308" s="8" t="inlineStr">
        <is>
          <t>Sim</t>
        </is>
      </c>
      <c r="F308" s="8" t="n">
        <v>33</v>
      </c>
      <c r="G308" s="8" t="n">
        <v>28</v>
      </c>
      <c r="H308" s="9">
        <f>IF(F308=0,"",G308/F308)</f>
        <v/>
      </c>
    </row>
    <row r="309">
      <c r="A309" s="10" t="inlineStr">
        <is>
          <t>Simulado 01</t>
        </is>
      </c>
      <c r="B309" s="11" t="n">
        <v>16</v>
      </c>
      <c r="C309" s="11" t="inlineStr">
        <is>
          <t>7ª Fase</t>
        </is>
      </c>
      <c r="D309" s="11" t="inlineStr">
        <is>
          <t>C</t>
        </is>
      </c>
      <c r="E309" s="11" t="inlineStr">
        <is>
          <t>Não</t>
        </is>
      </c>
      <c r="F309" s="11" t="n">
        <v>33</v>
      </c>
      <c r="G309" s="11" t="n">
        <v>0</v>
      </c>
      <c r="H309" s="12">
        <f>IF(F309=0,"",G309/F309)</f>
        <v/>
      </c>
    </row>
    <row r="310">
      <c r="A310" s="7" t="inlineStr">
        <is>
          <t>Simulado 01</t>
        </is>
      </c>
      <c r="B310" s="8" t="n">
        <v>16</v>
      </c>
      <c r="C310" s="8" t="inlineStr">
        <is>
          <t>7ª Fase</t>
        </is>
      </c>
      <c r="D310" s="8" t="inlineStr">
        <is>
          <t>D</t>
        </is>
      </c>
      <c r="E310" s="8" t="inlineStr">
        <is>
          <t>Não</t>
        </is>
      </c>
      <c r="F310" s="8" t="n">
        <v>33</v>
      </c>
      <c r="G310" s="8" t="n">
        <v>2</v>
      </c>
      <c r="H310" s="9">
        <f>IF(F310=0,"",G310/F310)</f>
        <v/>
      </c>
    </row>
    <row r="311">
      <c r="A311" s="10" t="inlineStr">
        <is>
          <t>Simulado 01</t>
        </is>
      </c>
      <c r="B311" s="11" t="n">
        <v>16</v>
      </c>
      <c r="C311" s="11" t="inlineStr">
        <is>
          <t>7ª Fase</t>
        </is>
      </c>
      <c r="D311" s="11" t="inlineStr">
        <is>
          <t>E</t>
        </is>
      </c>
      <c r="E311" s="11" t="inlineStr">
        <is>
          <t>Não</t>
        </is>
      </c>
      <c r="F311" s="11" t="n">
        <v>33</v>
      </c>
      <c r="G311" s="11" t="n">
        <v>1</v>
      </c>
      <c r="H311" s="12">
        <f>IF(F311=0,"",G311/F311)</f>
        <v/>
      </c>
    </row>
    <row r="312">
      <c r="A312" s="7" t="inlineStr">
        <is>
          <t>Simulado 01</t>
        </is>
      </c>
      <c r="B312" s="8" t="n">
        <v>16</v>
      </c>
      <c r="C312" s="8" t="inlineStr">
        <is>
          <t>10ª Fase</t>
        </is>
      </c>
      <c r="D312" s="8" t="inlineStr">
        <is>
          <t>A</t>
        </is>
      </c>
      <c r="E312" s="8" t="inlineStr">
        <is>
          <t>Não</t>
        </is>
      </c>
      <c r="F312" s="8" t="n">
        <v>31</v>
      </c>
      <c r="G312" s="8" t="n">
        <v>8</v>
      </c>
      <c r="H312" s="9">
        <f>IF(F312=0,"",G312/F312)</f>
        <v/>
      </c>
    </row>
    <row r="313">
      <c r="A313" s="10" t="inlineStr">
        <is>
          <t>Simulado 01</t>
        </is>
      </c>
      <c r="B313" s="11" t="n">
        <v>16</v>
      </c>
      <c r="C313" s="11" t="inlineStr">
        <is>
          <t>10ª Fase</t>
        </is>
      </c>
      <c r="D313" s="11" t="inlineStr">
        <is>
          <t>B</t>
        </is>
      </c>
      <c r="E313" s="11" t="inlineStr">
        <is>
          <t>Sim</t>
        </is>
      </c>
      <c r="F313" s="11" t="n">
        <v>31</v>
      </c>
      <c r="G313" s="11" t="n">
        <v>21</v>
      </c>
      <c r="H313" s="12">
        <f>IF(F313=0,"",G313/F313)</f>
        <v/>
      </c>
    </row>
    <row r="314">
      <c r="A314" s="7" t="inlineStr">
        <is>
          <t>Simulado 01</t>
        </is>
      </c>
      <c r="B314" s="8" t="n">
        <v>16</v>
      </c>
      <c r="C314" s="8" t="inlineStr">
        <is>
          <t>10ª Fase</t>
        </is>
      </c>
      <c r="D314" s="8" t="inlineStr">
        <is>
          <t>C</t>
        </is>
      </c>
      <c r="E314" s="8" t="inlineStr">
        <is>
          <t>Não</t>
        </is>
      </c>
      <c r="F314" s="8" t="n">
        <v>31</v>
      </c>
      <c r="G314" s="8" t="n">
        <v>1</v>
      </c>
      <c r="H314" s="9">
        <f>IF(F314=0,"",G314/F314)</f>
        <v/>
      </c>
    </row>
    <row r="315">
      <c r="A315" s="10" t="inlineStr">
        <is>
          <t>Simulado 01</t>
        </is>
      </c>
      <c r="B315" s="11" t="n">
        <v>16</v>
      </c>
      <c r="C315" s="11" t="inlineStr">
        <is>
          <t>10ª Fase</t>
        </is>
      </c>
      <c r="D315" s="11" t="inlineStr">
        <is>
          <t>D</t>
        </is>
      </c>
      <c r="E315" s="11" t="inlineStr">
        <is>
          <t>Não</t>
        </is>
      </c>
      <c r="F315" s="11" t="n">
        <v>31</v>
      </c>
      <c r="G315" s="11" t="n">
        <v>1</v>
      </c>
      <c r="H315" s="12">
        <f>IF(F315=0,"",G315/F315)</f>
        <v/>
      </c>
    </row>
    <row r="316">
      <c r="A316" s="7" t="inlineStr">
        <is>
          <t>Simulado 01</t>
        </is>
      </c>
      <c r="B316" s="8" t="n">
        <v>16</v>
      </c>
      <c r="C316" s="8" t="inlineStr">
        <is>
          <t>10ª Fase</t>
        </is>
      </c>
      <c r="D316" s="8" t="inlineStr">
        <is>
          <t>E</t>
        </is>
      </c>
      <c r="E316" s="8" t="inlineStr">
        <is>
          <t>Não</t>
        </is>
      </c>
      <c r="F316" s="8" t="n">
        <v>31</v>
      </c>
      <c r="G316" s="8" t="n">
        <v>0</v>
      </c>
      <c r="H316" s="9">
        <f>IF(F316=0,"",G316/F316)</f>
        <v/>
      </c>
    </row>
    <row r="317">
      <c r="A317" s="10" t="inlineStr">
        <is>
          <t>Simulado 01</t>
        </is>
      </c>
      <c r="B317" s="11" t="n">
        <v>16</v>
      </c>
      <c r="C317" s="11" t="inlineStr">
        <is>
          <t>11ª Fase</t>
        </is>
      </c>
      <c r="D317" s="11" t="inlineStr">
        <is>
          <t>A</t>
        </is>
      </c>
      <c r="E317" s="11" t="inlineStr">
        <is>
          <t>Não</t>
        </is>
      </c>
      <c r="F317" s="11" t="n">
        <v>27</v>
      </c>
      <c r="G317" s="11" t="n">
        <v>5</v>
      </c>
      <c r="H317" s="12">
        <f>IF(F317=0,"",G317/F317)</f>
        <v/>
      </c>
    </row>
    <row r="318">
      <c r="A318" s="7" t="inlineStr">
        <is>
          <t>Simulado 01</t>
        </is>
      </c>
      <c r="B318" s="8" t="n">
        <v>16</v>
      </c>
      <c r="C318" s="8" t="inlineStr">
        <is>
          <t>11ª Fase</t>
        </is>
      </c>
      <c r="D318" s="8" t="inlineStr">
        <is>
          <t>B</t>
        </is>
      </c>
      <c r="E318" s="8" t="inlineStr">
        <is>
          <t>Sim</t>
        </is>
      </c>
      <c r="F318" s="8" t="n">
        <v>27</v>
      </c>
      <c r="G318" s="8" t="n">
        <v>22</v>
      </c>
      <c r="H318" s="9">
        <f>IF(F318=0,"",G318/F318)</f>
        <v/>
      </c>
    </row>
    <row r="319">
      <c r="A319" s="10" t="inlineStr">
        <is>
          <t>Simulado 01</t>
        </is>
      </c>
      <c r="B319" s="11" t="n">
        <v>16</v>
      </c>
      <c r="C319" s="11" t="inlineStr">
        <is>
          <t>11ª Fase</t>
        </is>
      </c>
      <c r="D319" s="11" t="inlineStr">
        <is>
          <t>C</t>
        </is>
      </c>
      <c r="E319" s="11" t="inlineStr">
        <is>
          <t>Não</t>
        </is>
      </c>
      <c r="F319" s="11" t="n">
        <v>27</v>
      </c>
      <c r="G319" s="11" t="n">
        <v>0</v>
      </c>
      <c r="H319" s="12">
        <f>IF(F319=0,"",G319/F319)</f>
        <v/>
      </c>
    </row>
    <row r="320">
      <c r="A320" s="7" t="inlineStr">
        <is>
          <t>Simulado 01</t>
        </is>
      </c>
      <c r="B320" s="8" t="n">
        <v>16</v>
      </c>
      <c r="C320" s="8" t="inlineStr">
        <is>
          <t>11ª Fase</t>
        </is>
      </c>
      <c r="D320" s="8" t="inlineStr">
        <is>
          <t>D</t>
        </is>
      </c>
      <c r="E320" s="8" t="inlineStr">
        <is>
          <t>Não</t>
        </is>
      </c>
      <c r="F320" s="8" t="n">
        <v>27</v>
      </c>
      <c r="G320" s="8" t="n">
        <v>0</v>
      </c>
      <c r="H320" s="9">
        <f>IF(F320=0,"",G320/F320)</f>
        <v/>
      </c>
    </row>
    <row r="321">
      <c r="A321" s="10" t="inlineStr">
        <is>
          <t>Simulado 01</t>
        </is>
      </c>
      <c r="B321" s="11" t="n">
        <v>16</v>
      </c>
      <c r="C321" s="11" t="inlineStr">
        <is>
          <t>11ª Fase</t>
        </is>
      </c>
      <c r="D321" s="11" t="inlineStr">
        <is>
          <t>E</t>
        </is>
      </c>
      <c r="E321" s="11" t="inlineStr">
        <is>
          <t>Não</t>
        </is>
      </c>
      <c r="F321" s="11" t="n">
        <v>27</v>
      </c>
      <c r="G321" s="11" t="n">
        <v>0</v>
      </c>
      <c r="H321" s="12">
        <f>IF(F321=0,"",G321/F321)</f>
        <v/>
      </c>
    </row>
    <row r="322">
      <c r="A322" s="7" t="inlineStr">
        <is>
          <t>Simulado 01</t>
        </is>
      </c>
      <c r="B322" s="8" t="n">
        <v>17</v>
      </c>
      <c r="C322" s="8" t="inlineStr">
        <is>
          <t>6ª Fase</t>
        </is>
      </c>
      <c r="D322" s="8" t="inlineStr">
        <is>
          <t>A</t>
        </is>
      </c>
      <c r="E322" s="8" t="inlineStr">
        <is>
          <t>Não</t>
        </is>
      </c>
      <c r="F322" s="8" t="n">
        <v>27</v>
      </c>
      <c r="G322" s="8" t="n">
        <v>0</v>
      </c>
      <c r="H322" s="9">
        <f>IF(F322=0,"",G322/F322)</f>
        <v/>
      </c>
    </row>
    <row r="323">
      <c r="A323" s="10" t="inlineStr">
        <is>
          <t>Simulado 01</t>
        </is>
      </c>
      <c r="B323" s="11" t="n">
        <v>17</v>
      </c>
      <c r="C323" s="11" t="inlineStr">
        <is>
          <t>6ª Fase</t>
        </is>
      </c>
      <c r="D323" s="11" t="inlineStr">
        <is>
          <t>B</t>
        </is>
      </c>
      <c r="E323" s="11" t="inlineStr">
        <is>
          <t>Não</t>
        </is>
      </c>
      <c r="F323" s="11" t="n">
        <v>27</v>
      </c>
      <c r="G323" s="11" t="n">
        <v>24</v>
      </c>
      <c r="H323" s="12">
        <f>IF(F323=0,"",G323/F323)</f>
        <v/>
      </c>
    </row>
    <row r="324">
      <c r="A324" s="7" t="inlineStr">
        <is>
          <t>Simulado 01</t>
        </is>
      </c>
      <c r="B324" s="8" t="n">
        <v>17</v>
      </c>
      <c r="C324" s="8" t="inlineStr">
        <is>
          <t>6ª Fase</t>
        </is>
      </c>
      <c r="D324" s="8" t="inlineStr">
        <is>
          <t>C</t>
        </is>
      </c>
      <c r="E324" s="8" t="inlineStr">
        <is>
          <t>Sim</t>
        </is>
      </c>
      <c r="F324" s="8" t="n">
        <v>27</v>
      </c>
      <c r="G324" s="8" t="n">
        <v>3</v>
      </c>
      <c r="H324" s="9">
        <f>IF(F324=0,"",G324/F324)</f>
        <v/>
      </c>
    </row>
    <row r="325">
      <c r="A325" s="10" t="inlineStr">
        <is>
          <t>Simulado 01</t>
        </is>
      </c>
      <c r="B325" s="11" t="n">
        <v>17</v>
      </c>
      <c r="C325" s="11" t="inlineStr">
        <is>
          <t>6ª Fase</t>
        </is>
      </c>
      <c r="D325" s="11" t="inlineStr">
        <is>
          <t>D</t>
        </is>
      </c>
      <c r="E325" s="11" t="inlineStr">
        <is>
          <t>Não</t>
        </is>
      </c>
      <c r="F325" s="11" t="n">
        <v>27</v>
      </c>
      <c r="G325" s="11" t="n">
        <v>0</v>
      </c>
      <c r="H325" s="12">
        <f>IF(F325=0,"",G325/F325)</f>
        <v/>
      </c>
    </row>
    <row r="326">
      <c r="A326" s="7" t="inlineStr">
        <is>
          <t>Simulado 01</t>
        </is>
      </c>
      <c r="B326" s="8" t="n">
        <v>17</v>
      </c>
      <c r="C326" s="8" t="inlineStr">
        <is>
          <t>7ª Fase</t>
        </is>
      </c>
      <c r="D326" s="8" t="inlineStr">
        <is>
          <t>A</t>
        </is>
      </c>
      <c r="E326" s="8" t="inlineStr">
        <is>
          <t>Não</t>
        </is>
      </c>
      <c r="F326" s="8" t="n">
        <v>33</v>
      </c>
      <c r="G326" s="8" t="n">
        <v>1</v>
      </c>
      <c r="H326" s="9">
        <f>IF(F326=0,"",G326/F326)</f>
        <v/>
      </c>
    </row>
    <row r="327">
      <c r="A327" s="10" t="inlineStr">
        <is>
          <t>Simulado 01</t>
        </is>
      </c>
      <c r="B327" s="11" t="n">
        <v>17</v>
      </c>
      <c r="C327" s="11" t="inlineStr">
        <is>
          <t>7ª Fase</t>
        </is>
      </c>
      <c r="D327" s="11" t="inlineStr">
        <is>
          <t>B</t>
        </is>
      </c>
      <c r="E327" s="11" t="inlineStr">
        <is>
          <t>Não</t>
        </is>
      </c>
      <c r="F327" s="11" t="n">
        <v>33</v>
      </c>
      <c r="G327" s="11" t="n">
        <v>29</v>
      </c>
      <c r="H327" s="12">
        <f>IF(F327=0,"",G327/F327)</f>
        <v/>
      </c>
    </row>
    <row r="328">
      <c r="A328" s="7" t="inlineStr">
        <is>
          <t>Simulado 01</t>
        </is>
      </c>
      <c r="B328" s="8" t="n">
        <v>17</v>
      </c>
      <c r="C328" s="8" t="inlineStr">
        <is>
          <t>7ª Fase</t>
        </is>
      </c>
      <c r="D328" s="8" t="inlineStr">
        <is>
          <t>C</t>
        </is>
      </c>
      <c r="E328" s="8" t="inlineStr">
        <is>
          <t>Sim</t>
        </is>
      </c>
      <c r="F328" s="8" t="n">
        <v>33</v>
      </c>
      <c r="G328" s="8" t="n">
        <v>3</v>
      </c>
      <c r="H328" s="9">
        <f>IF(F328=0,"",G328/F328)</f>
        <v/>
      </c>
    </row>
    <row r="329">
      <c r="A329" s="10" t="inlineStr">
        <is>
          <t>Simulado 01</t>
        </is>
      </c>
      <c r="B329" s="11" t="n">
        <v>17</v>
      </c>
      <c r="C329" s="11" t="inlineStr">
        <is>
          <t>7ª Fase</t>
        </is>
      </c>
      <c r="D329" s="11" t="inlineStr">
        <is>
          <t>D</t>
        </is>
      </c>
      <c r="E329" s="11" t="inlineStr">
        <is>
          <t>Não</t>
        </is>
      </c>
      <c r="F329" s="11" t="n">
        <v>33</v>
      </c>
      <c r="G329" s="11" t="n">
        <v>0</v>
      </c>
      <c r="H329" s="12">
        <f>IF(F329=0,"",G329/F329)</f>
        <v/>
      </c>
    </row>
    <row r="330">
      <c r="A330" s="7" t="inlineStr">
        <is>
          <t>Simulado 01</t>
        </is>
      </c>
      <c r="B330" s="8" t="n">
        <v>17</v>
      </c>
      <c r="C330" s="8" t="inlineStr">
        <is>
          <t>10ª Fase</t>
        </is>
      </c>
      <c r="D330" s="8" t="inlineStr">
        <is>
          <t>A</t>
        </is>
      </c>
      <c r="E330" s="8" t="inlineStr">
        <is>
          <t>Não</t>
        </is>
      </c>
      <c r="F330" s="8" t="n">
        <v>31</v>
      </c>
      <c r="G330" s="8" t="n">
        <v>0</v>
      </c>
      <c r="H330" s="9">
        <f>IF(F330=0,"",G330/F330)</f>
        <v/>
      </c>
    </row>
    <row r="331">
      <c r="A331" s="10" t="inlineStr">
        <is>
          <t>Simulado 01</t>
        </is>
      </c>
      <c r="B331" s="11" t="n">
        <v>17</v>
      </c>
      <c r="C331" s="11" t="inlineStr">
        <is>
          <t>10ª Fase</t>
        </is>
      </c>
      <c r="D331" s="11" t="inlineStr">
        <is>
          <t>B</t>
        </is>
      </c>
      <c r="E331" s="11" t="inlineStr">
        <is>
          <t>Não</t>
        </is>
      </c>
      <c r="F331" s="11" t="n">
        <v>31</v>
      </c>
      <c r="G331" s="11" t="n">
        <v>29</v>
      </c>
      <c r="H331" s="12">
        <f>IF(F331=0,"",G331/F331)</f>
        <v/>
      </c>
    </row>
    <row r="332">
      <c r="A332" s="7" t="inlineStr">
        <is>
          <t>Simulado 01</t>
        </is>
      </c>
      <c r="B332" s="8" t="n">
        <v>17</v>
      </c>
      <c r="C332" s="8" t="inlineStr">
        <is>
          <t>10ª Fase</t>
        </is>
      </c>
      <c r="D332" s="8" t="inlineStr">
        <is>
          <t>C</t>
        </is>
      </c>
      <c r="E332" s="8" t="inlineStr">
        <is>
          <t>Sim</t>
        </is>
      </c>
      <c r="F332" s="8" t="n">
        <v>31</v>
      </c>
      <c r="G332" s="8" t="n">
        <v>2</v>
      </c>
      <c r="H332" s="9">
        <f>IF(F332=0,"",G332/F332)</f>
        <v/>
      </c>
    </row>
    <row r="333">
      <c r="A333" s="10" t="inlineStr">
        <is>
          <t>Simulado 01</t>
        </is>
      </c>
      <c r="B333" s="11" t="n">
        <v>17</v>
      </c>
      <c r="C333" s="11" t="inlineStr">
        <is>
          <t>10ª Fase</t>
        </is>
      </c>
      <c r="D333" s="11" t="inlineStr">
        <is>
          <t>D</t>
        </is>
      </c>
      <c r="E333" s="11" t="inlineStr">
        <is>
          <t>Não</t>
        </is>
      </c>
      <c r="F333" s="11" t="n">
        <v>31</v>
      </c>
      <c r="G333" s="11" t="n">
        <v>0</v>
      </c>
      <c r="H333" s="12">
        <f>IF(F333=0,"",G333/F333)</f>
        <v/>
      </c>
    </row>
    <row r="334">
      <c r="A334" s="7" t="inlineStr">
        <is>
          <t>Simulado 01</t>
        </is>
      </c>
      <c r="B334" s="8" t="n">
        <v>17</v>
      </c>
      <c r="C334" s="8" t="inlineStr">
        <is>
          <t>11ª Fase</t>
        </is>
      </c>
      <c r="D334" s="8" t="inlineStr">
        <is>
          <t>A</t>
        </is>
      </c>
      <c r="E334" s="8" t="inlineStr">
        <is>
          <t>Não</t>
        </is>
      </c>
      <c r="F334" s="8" t="n">
        <v>27</v>
      </c>
      <c r="G334" s="8" t="n">
        <v>0</v>
      </c>
      <c r="H334" s="9">
        <f>IF(F334=0,"",G334/F334)</f>
        <v/>
      </c>
    </row>
    <row r="335">
      <c r="A335" s="10" t="inlineStr">
        <is>
          <t>Simulado 01</t>
        </is>
      </c>
      <c r="B335" s="11" t="n">
        <v>17</v>
      </c>
      <c r="C335" s="11" t="inlineStr">
        <is>
          <t>11ª Fase</t>
        </is>
      </c>
      <c r="D335" s="11" t="inlineStr">
        <is>
          <t>B</t>
        </is>
      </c>
      <c r="E335" s="11" t="inlineStr">
        <is>
          <t>Não</t>
        </is>
      </c>
      <c r="F335" s="11" t="n">
        <v>27</v>
      </c>
      <c r="G335" s="11" t="n">
        <v>25</v>
      </c>
      <c r="H335" s="12">
        <f>IF(F335=0,"",G335/F335)</f>
        <v/>
      </c>
    </row>
    <row r="336">
      <c r="A336" s="7" t="inlineStr">
        <is>
          <t>Simulado 01</t>
        </is>
      </c>
      <c r="B336" s="8" t="n">
        <v>17</v>
      </c>
      <c r="C336" s="8" t="inlineStr">
        <is>
          <t>11ª Fase</t>
        </is>
      </c>
      <c r="D336" s="8" t="inlineStr">
        <is>
          <t>C</t>
        </is>
      </c>
      <c r="E336" s="8" t="inlineStr">
        <is>
          <t>Sim</t>
        </is>
      </c>
      <c r="F336" s="8" t="n">
        <v>27</v>
      </c>
      <c r="G336" s="8" t="n">
        <v>2</v>
      </c>
      <c r="H336" s="9">
        <f>IF(F336=0,"",G336/F336)</f>
        <v/>
      </c>
    </row>
    <row r="337">
      <c r="A337" s="10" t="inlineStr">
        <is>
          <t>Simulado 01</t>
        </is>
      </c>
      <c r="B337" s="11" t="n">
        <v>17</v>
      </c>
      <c r="C337" s="11" t="inlineStr">
        <is>
          <t>11ª Fase</t>
        </is>
      </c>
      <c r="D337" s="11" t="inlineStr">
        <is>
          <t>D</t>
        </is>
      </c>
      <c r="E337" s="11" t="inlineStr">
        <is>
          <t>Não</t>
        </is>
      </c>
      <c r="F337" s="11" t="n">
        <v>27</v>
      </c>
      <c r="G337" s="11" t="n">
        <v>0</v>
      </c>
      <c r="H337" s="12">
        <f>IF(F337=0,"",G337/F337)</f>
        <v/>
      </c>
    </row>
    <row r="338">
      <c r="A338" s="7" t="inlineStr">
        <is>
          <t>Simulado 01</t>
        </is>
      </c>
      <c r="B338" s="8" t="n">
        <v>18</v>
      </c>
      <c r="C338" s="8" t="inlineStr">
        <is>
          <t>6ª Fase</t>
        </is>
      </c>
      <c r="D338" s="8" t="inlineStr">
        <is>
          <t>A</t>
        </is>
      </c>
      <c r="E338" s="8" t="inlineStr">
        <is>
          <t>Não</t>
        </is>
      </c>
      <c r="F338" s="8" t="n">
        <v>27</v>
      </c>
      <c r="G338" s="8" t="n">
        <v>15</v>
      </c>
      <c r="H338" s="9">
        <f>IF(F338=0,"",G338/F338)</f>
        <v/>
      </c>
    </row>
    <row r="339">
      <c r="A339" s="10" t="inlineStr">
        <is>
          <t>Simulado 01</t>
        </is>
      </c>
      <c r="B339" s="11" t="n">
        <v>18</v>
      </c>
      <c r="C339" s="11" t="inlineStr">
        <is>
          <t>6ª Fase</t>
        </is>
      </c>
      <c r="D339" s="11" t="inlineStr">
        <is>
          <t>B</t>
        </is>
      </c>
      <c r="E339" s="11" t="inlineStr">
        <is>
          <t>Não</t>
        </is>
      </c>
      <c r="F339" s="11" t="n">
        <v>27</v>
      </c>
      <c r="G339" s="11" t="n">
        <v>1</v>
      </c>
      <c r="H339" s="12">
        <f>IF(F339=0,"",G339/F339)</f>
        <v/>
      </c>
    </row>
    <row r="340">
      <c r="A340" s="7" t="inlineStr">
        <is>
          <t>Simulado 01</t>
        </is>
      </c>
      <c r="B340" s="8" t="n">
        <v>18</v>
      </c>
      <c r="C340" s="8" t="inlineStr">
        <is>
          <t>6ª Fase</t>
        </is>
      </c>
      <c r="D340" s="8" t="inlineStr">
        <is>
          <t>C</t>
        </is>
      </c>
      <c r="E340" s="8" t="inlineStr">
        <is>
          <t>Não</t>
        </is>
      </c>
      <c r="F340" s="8" t="n">
        <v>27</v>
      </c>
      <c r="G340" s="8" t="n">
        <v>0</v>
      </c>
      <c r="H340" s="9">
        <f>IF(F340=0,"",G340/F340)</f>
        <v/>
      </c>
    </row>
    <row r="341">
      <c r="A341" s="10" t="inlineStr">
        <is>
          <t>Simulado 01</t>
        </is>
      </c>
      <c r="B341" s="11" t="n">
        <v>18</v>
      </c>
      <c r="C341" s="11" t="inlineStr">
        <is>
          <t>6ª Fase</t>
        </is>
      </c>
      <c r="D341" s="11" t="inlineStr">
        <is>
          <t>D</t>
        </is>
      </c>
      <c r="E341" s="11" t="inlineStr">
        <is>
          <t>Não</t>
        </is>
      </c>
      <c r="F341" s="11" t="n">
        <v>27</v>
      </c>
      <c r="G341" s="11" t="n">
        <v>7</v>
      </c>
      <c r="H341" s="12">
        <f>IF(F341=0,"",G341/F341)</f>
        <v/>
      </c>
    </row>
    <row r="342">
      <c r="A342" s="7" t="inlineStr">
        <is>
          <t>Simulado 01</t>
        </is>
      </c>
      <c r="B342" s="8" t="n">
        <v>18</v>
      </c>
      <c r="C342" s="8" t="inlineStr">
        <is>
          <t>6ª Fase</t>
        </is>
      </c>
      <c r="D342" s="8" t="inlineStr">
        <is>
          <t>E</t>
        </is>
      </c>
      <c r="E342" s="8" t="inlineStr">
        <is>
          <t>Sim</t>
        </is>
      </c>
      <c r="F342" s="8" t="n">
        <v>27</v>
      </c>
      <c r="G342" s="8" t="n">
        <v>4</v>
      </c>
      <c r="H342" s="9">
        <f>IF(F342=0,"",G342/F342)</f>
        <v/>
      </c>
    </row>
    <row r="343">
      <c r="A343" s="10" t="inlineStr">
        <is>
          <t>Simulado 01</t>
        </is>
      </c>
      <c r="B343" s="11" t="n">
        <v>18</v>
      </c>
      <c r="C343" s="11" t="inlineStr">
        <is>
          <t>7ª Fase</t>
        </is>
      </c>
      <c r="D343" s="11" t="inlineStr">
        <is>
          <t>A</t>
        </is>
      </c>
      <c r="E343" s="11" t="inlineStr">
        <is>
          <t>Não</t>
        </is>
      </c>
      <c r="F343" s="11" t="n">
        <v>33</v>
      </c>
      <c r="G343" s="11" t="n">
        <v>23</v>
      </c>
      <c r="H343" s="12">
        <f>IF(F343=0,"",G343/F343)</f>
        <v/>
      </c>
    </row>
    <row r="344">
      <c r="A344" s="7" t="inlineStr">
        <is>
          <t>Simulado 01</t>
        </is>
      </c>
      <c r="B344" s="8" t="n">
        <v>18</v>
      </c>
      <c r="C344" s="8" t="inlineStr">
        <is>
          <t>7ª Fase</t>
        </is>
      </c>
      <c r="D344" s="8" t="inlineStr">
        <is>
          <t>B</t>
        </is>
      </c>
      <c r="E344" s="8" t="inlineStr">
        <is>
          <t>Não</t>
        </is>
      </c>
      <c r="F344" s="8" t="n">
        <v>33</v>
      </c>
      <c r="G344" s="8" t="n">
        <v>3</v>
      </c>
      <c r="H344" s="9">
        <f>IF(F344=0,"",G344/F344)</f>
        <v/>
      </c>
    </row>
    <row r="345">
      <c r="A345" s="10" t="inlineStr">
        <is>
          <t>Simulado 01</t>
        </is>
      </c>
      <c r="B345" s="11" t="n">
        <v>18</v>
      </c>
      <c r="C345" s="11" t="inlineStr">
        <is>
          <t>7ª Fase</t>
        </is>
      </c>
      <c r="D345" s="11" t="inlineStr">
        <is>
          <t>C</t>
        </is>
      </c>
      <c r="E345" s="11" t="inlineStr">
        <is>
          <t>Não</t>
        </is>
      </c>
      <c r="F345" s="11" t="n">
        <v>33</v>
      </c>
      <c r="G345" s="11" t="n">
        <v>0</v>
      </c>
      <c r="H345" s="12">
        <f>IF(F345=0,"",G345/F345)</f>
        <v/>
      </c>
    </row>
    <row r="346">
      <c r="A346" s="7" t="inlineStr">
        <is>
          <t>Simulado 01</t>
        </is>
      </c>
      <c r="B346" s="8" t="n">
        <v>18</v>
      </c>
      <c r="C346" s="8" t="inlineStr">
        <is>
          <t>7ª Fase</t>
        </is>
      </c>
      <c r="D346" s="8" t="inlineStr">
        <is>
          <t>D</t>
        </is>
      </c>
      <c r="E346" s="8" t="inlineStr">
        <is>
          <t>Não</t>
        </is>
      </c>
      <c r="F346" s="8" t="n">
        <v>33</v>
      </c>
      <c r="G346" s="8" t="n">
        <v>3</v>
      </c>
      <c r="H346" s="9">
        <f>IF(F346=0,"",G346/F346)</f>
        <v/>
      </c>
    </row>
    <row r="347">
      <c r="A347" s="10" t="inlineStr">
        <is>
          <t>Simulado 01</t>
        </is>
      </c>
      <c r="B347" s="11" t="n">
        <v>18</v>
      </c>
      <c r="C347" s="11" t="inlineStr">
        <is>
          <t>7ª Fase</t>
        </is>
      </c>
      <c r="D347" s="11" t="inlineStr">
        <is>
          <t>E</t>
        </is>
      </c>
      <c r="E347" s="11" t="inlineStr">
        <is>
          <t>Sim</t>
        </is>
      </c>
      <c r="F347" s="11" t="n">
        <v>33</v>
      </c>
      <c r="G347" s="11" t="n">
        <v>4</v>
      </c>
      <c r="H347" s="12">
        <f>IF(F347=0,"",G347/F347)</f>
        <v/>
      </c>
    </row>
    <row r="348">
      <c r="A348" s="7" t="inlineStr">
        <is>
          <t>Simulado 01</t>
        </is>
      </c>
      <c r="B348" s="8" t="n">
        <v>18</v>
      </c>
      <c r="C348" s="8" t="inlineStr">
        <is>
          <t>10ª Fase</t>
        </is>
      </c>
      <c r="D348" s="8" t="inlineStr">
        <is>
          <t>A</t>
        </is>
      </c>
      <c r="E348" s="8" t="inlineStr">
        <is>
          <t>Não</t>
        </is>
      </c>
      <c r="F348" s="8" t="n">
        <v>31</v>
      </c>
      <c r="G348" s="8" t="n">
        <v>10</v>
      </c>
      <c r="H348" s="9">
        <f>IF(F348=0,"",G348/F348)</f>
        <v/>
      </c>
    </row>
    <row r="349">
      <c r="A349" s="10" t="inlineStr">
        <is>
          <t>Simulado 01</t>
        </is>
      </c>
      <c r="B349" s="11" t="n">
        <v>18</v>
      </c>
      <c r="C349" s="11" t="inlineStr">
        <is>
          <t>10ª Fase</t>
        </is>
      </c>
      <c r="D349" s="11" t="inlineStr">
        <is>
          <t>B</t>
        </is>
      </c>
      <c r="E349" s="11" t="inlineStr">
        <is>
          <t>Não</t>
        </is>
      </c>
      <c r="F349" s="11" t="n">
        <v>31</v>
      </c>
      <c r="G349" s="11" t="n">
        <v>1</v>
      </c>
      <c r="H349" s="12">
        <f>IF(F349=0,"",G349/F349)</f>
        <v/>
      </c>
    </row>
    <row r="350">
      <c r="A350" s="7" t="inlineStr">
        <is>
          <t>Simulado 01</t>
        </is>
      </c>
      <c r="B350" s="8" t="n">
        <v>18</v>
      </c>
      <c r="C350" s="8" t="inlineStr">
        <is>
          <t>10ª Fase</t>
        </is>
      </c>
      <c r="D350" s="8" t="inlineStr">
        <is>
          <t>C</t>
        </is>
      </c>
      <c r="E350" s="8" t="inlineStr">
        <is>
          <t>Não</t>
        </is>
      </c>
      <c r="F350" s="8" t="n">
        <v>31</v>
      </c>
      <c r="G350" s="8" t="n">
        <v>1</v>
      </c>
      <c r="H350" s="9">
        <f>IF(F350=0,"",G350/F350)</f>
        <v/>
      </c>
    </row>
    <row r="351">
      <c r="A351" s="10" t="inlineStr">
        <is>
          <t>Simulado 01</t>
        </is>
      </c>
      <c r="B351" s="11" t="n">
        <v>18</v>
      </c>
      <c r="C351" s="11" t="inlineStr">
        <is>
          <t>10ª Fase</t>
        </is>
      </c>
      <c r="D351" s="11" t="inlineStr">
        <is>
          <t>D</t>
        </is>
      </c>
      <c r="E351" s="11" t="inlineStr">
        <is>
          <t>Não</t>
        </is>
      </c>
      <c r="F351" s="11" t="n">
        <v>31</v>
      </c>
      <c r="G351" s="11" t="n">
        <v>7</v>
      </c>
      <c r="H351" s="12">
        <f>IF(F351=0,"",G351/F351)</f>
        <v/>
      </c>
    </row>
    <row r="352">
      <c r="A352" s="7" t="inlineStr">
        <is>
          <t>Simulado 01</t>
        </is>
      </c>
      <c r="B352" s="8" t="n">
        <v>18</v>
      </c>
      <c r="C352" s="8" t="inlineStr">
        <is>
          <t>10ª Fase</t>
        </is>
      </c>
      <c r="D352" s="8" t="inlineStr">
        <is>
          <t>E</t>
        </is>
      </c>
      <c r="E352" s="8" t="inlineStr">
        <is>
          <t>Sim</t>
        </is>
      </c>
      <c r="F352" s="8" t="n">
        <v>31</v>
      </c>
      <c r="G352" s="8" t="n">
        <v>12</v>
      </c>
      <c r="H352" s="9">
        <f>IF(F352=0,"",G352/F352)</f>
        <v/>
      </c>
    </row>
    <row r="353">
      <c r="A353" s="10" t="inlineStr">
        <is>
          <t>Simulado 01</t>
        </is>
      </c>
      <c r="B353" s="11" t="n">
        <v>18</v>
      </c>
      <c r="C353" s="11" t="inlineStr">
        <is>
          <t>11ª Fase</t>
        </is>
      </c>
      <c r="D353" s="11" t="inlineStr">
        <is>
          <t>A</t>
        </is>
      </c>
      <c r="E353" s="11" t="inlineStr">
        <is>
          <t>Não</t>
        </is>
      </c>
      <c r="F353" s="11" t="n">
        <v>27</v>
      </c>
      <c r="G353" s="11" t="n">
        <v>11</v>
      </c>
      <c r="H353" s="12">
        <f>IF(F353=0,"",G353/F353)</f>
        <v/>
      </c>
    </row>
    <row r="354">
      <c r="A354" s="7" t="inlineStr">
        <is>
          <t>Simulado 01</t>
        </is>
      </c>
      <c r="B354" s="8" t="n">
        <v>18</v>
      </c>
      <c r="C354" s="8" t="inlineStr">
        <is>
          <t>11ª Fase</t>
        </is>
      </c>
      <c r="D354" s="8" t="inlineStr">
        <is>
          <t>B</t>
        </is>
      </c>
      <c r="E354" s="8" t="inlineStr">
        <is>
          <t>Não</t>
        </is>
      </c>
      <c r="F354" s="8" t="n">
        <v>27</v>
      </c>
      <c r="G354" s="8" t="n">
        <v>1</v>
      </c>
      <c r="H354" s="9">
        <f>IF(F354=0,"",G354/F354)</f>
        <v/>
      </c>
    </row>
    <row r="355">
      <c r="A355" s="10" t="inlineStr">
        <is>
          <t>Simulado 01</t>
        </is>
      </c>
      <c r="B355" s="11" t="n">
        <v>18</v>
      </c>
      <c r="C355" s="11" t="inlineStr">
        <is>
          <t>11ª Fase</t>
        </is>
      </c>
      <c r="D355" s="11" t="inlineStr">
        <is>
          <t>C</t>
        </is>
      </c>
      <c r="E355" s="11" t="inlineStr">
        <is>
          <t>Não</t>
        </is>
      </c>
      <c r="F355" s="11" t="n">
        <v>27</v>
      </c>
      <c r="G355" s="11" t="n">
        <v>0</v>
      </c>
      <c r="H355" s="12">
        <f>IF(F355=0,"",G355/F355)</f>
        <v/>
      </c>
    </row>
    <row r="356">
      <c r="A356" s="7" t="inlineStr">
        <is>
          <t>Simulado 01</t>
        </is>
      </c>
      <c r="B356" s="8" t="n">
        <v>18</v>
      </c>
      <c r="C356" s="8" t="inlineStr">
        <is>
          <t>11ª Fase</t>
        </is>
      </c>
      <c r="D356" s="8" t="inlineStr">
        <is>
          <t>D</t>
        </is>
      </c>
      <c r="E356" s="8" t="inlineStr">
        <is>
          <t>Não</t>
        </is>
      </c>
      <c r="F356" s="8" t="n">
        <v>27</v>
      </c>
      <c r="G356" s="8" t="n">
        <v>5</v>
      </c>
      <c r="H356" s="9">
        <f>IF(F356=0,"",G356/F356)</f>
        <v/>
      </c>
    </row>
    <row r="357">
      <c r="A357" s="10" t="inlineStr">
        <is>
          <t>Simulado 01</t>
        </is>
      </c>
      <c r="B357" s="11" t="n">
        <v>18</v>
      </c>
      <c r="C357" s="11" t="inlineStr">
        <is>
          <t>11ª Fase</t>
        </is>
      </c>
      <c r="D357" s="11" t="inlineStr">
        <is>
          <t>E</t>
        </is>
      </c>
      <c r="E357" s="11" t="inlineStr">
        <is>
          <t>Sim</t>
        </is>
      </c>
      <c r="F357" s="11" t="n">
        <v>27</v>
      </c>
      <c r="G357" s="11" t="n">
        <v>10</v>
      </c>
      <c r="H357" s="12">
        <f>IF(F357=0,"",G357/F357)</f>
        <v/>
      </c>
    </row>
    <row r="358">
      <c r="A358" s="7" t="inlineStr">
        <is>
          <t>Simulado 01</t>
        </is>
      </c>
      <c r="B358" s="8" t="n">
        <v>19</v>
      </c>
      <c r="C358" s="8" t="inlineStr">
        <is>
          <t>6ª Fase</t>
        </is>
      </c>
      <c r="D358" s="8" t="inlineStr">
        <is>
          <t>A</t>
        </is>
      </c>
      <c r="E358" s="8" t="inlineStr">
        <is>
          <t>Não</t>
        </is>
      </c>
      <c r="F358" s="8" t="n">
        <v>27</v>
      </c>
      <c r="G358" s="8" t="n">
        <v>0</v>
      </c>
      <c r="H358" s="9">
        <f>IF(F358=0,"",G358/F358)</f>
        <v/>
      </c>
    </row>
    <row r="359">
      <c r="A359" s="10" t="inlineStr">
        <is>
          <t>Simulado 01</t>
        </is>
      </c>
      <c r="B359" s="11" t="n">
        <v>19</v>
      </c>
      <c r="C359" s="11" t="inlineStr">
        <is>
          <t>6ª Fase</t>
        </is>
      </c>
      <c r="D359" s="11" t="inlineStr">
        <is>
          <t>B</t>
        </is>
      </c>
      <c r="E359" s="11" t="inlineStr">
        <is>
          <t>Não</t>
        </is>
      </c>
      <c r="F359" s="11" t="n">
        <v>27</v>
      </c>
      <c r="G359" s="11" t="n">
        <v>2</v>
      </c>
      <c r="H359" s="12">
        <f>IF(F359=0,"",G359/F359)</f>
        <v/>
      </c>
    </row>
    <row r="360">
      <c r="A360" s="7" t="inlineStr">
        <is>
          <t>Simulado 01</t>
        </is>
      </c>
      <c r="B360" s="8" t="n">
        <v>19</v>
      </c>
      <c r="C360" s="8" t="inlineStr">
        <is>
          <t>6ª Fase</t>
        </is>
      </c>
      <c r="D360" s="8" t="inlineStr">
        <is>
          <t>C</t>
        </is>
      </c>
      <c r="E360" s="8" t="inlineStr">
        <is>
          <t>Não</t>
        </is>
      </c>
      <c r="F360" s="8" t="n">
        <v>27</v>
      </c>
      <c r="G360" s="8" t="n">
        <v>1</v>
      </c>
      <c r="H360" s="9">
        <f>IF(F360=0,"",G360/F360)</f>
        <v/>
      </c>
    </row>
    <row r="361">
      <c r="A361" s="10" t="inlineStr">
        <is>
          <t>Simulado 01</t>
        </is>
      </c>
      <c r="B361" s="11" t="n">
        <v>19</v>
      </c>
      <c r="C361" s="11" t="inlineStr">
        <is>
          <t>6ª Fase</t>
        </is>
      </c>
      <c r="D361" s="11" t="inlineStr">
        <is>
          <t>D</t>
        </is>
      </c>
      <c r="E361" s="11" t="inlineStr">
        <is>
          <t>Não</t>
        </is>
      </c>
      <c r="F361" s="11" t="n">
        <v>27</v>
      </c>
      <c r="G361" s="11" t="n">
        <v>4</v>
      </c>
      <c r="H361" s="12">
        <f>IF(F361=0,"",G361/F361)</f>
        <v/>
      </c>
    </row>
    <row r="362">
      <c r="A362" s="7" t="inlineStr">
        <is>
          <t>Simulado 01</t>
        </is>
      </c>
      <c r="B362" s="8" t="n">
        <v>19</v>
      </c>
      <c r="C362" s="8" t="inlineStr">
        <is>
          <t>6ª Fase</t>
        </is>
      </c>
      <c r="D362" s="8" t="inlineStr">
        <is>
          <t>E</t>
        </is>
      </c>
      <c r="E362" s="8" t="inlineStr">
        <is>
          <t>Sim</t>
        </is>
      </c>
      <c r="F362" s="8" t="n">
        <v>27</v>
      </c>
      <c r="G362" s="8" t="n">
        <v>20</v>
      </c>
      <c r="H362" s="9">
        <f>IF(F362=0,"",G362/F362)</f>
        <v/>
      </c>
    </row>
    <row r="363">
      <c r="A363" s="10" t="inlineStr">
        <is>
          <t>Simulado 01</t>
        </is>
      </c>
      <c r="B363" s="11" t="n">
        <v>19</v>
      </c>
      <c r="C363" s="11" t="inlineStr">
        <is>
          <t>7ª Fase</t>
        </is>
      </c>
      <c r="D363" s="11" t="inlineStr">
        <is>
          <t>A</t>
        </is>
      </c>
      <c r="E363" s="11" t="inlineStr">
        <is>
          <t>Não</t>
        </is>
      </c>
      <c r="F363" s="11" t="n">
        <v>33</v>
      </c>
      <c r="G363" s="11" t="n">
        <v>0</v>
      </c>
      <c r="H363" s="12">
        <f>IF(F363=0,"",G363/F363)</f>
        <v/>
      </c>
    </row>
    <row r="364">
      <c r="A364" s="7" t="inlineStr">
        <is>
          <t>Simulado 01</t>
        </is>
      </c>
      <c r="B364" s="8" t="n">
        <v>19</v>
      </c>
      <c r="C364" s="8" t="inlineStr">
        <is>
          <t>7ª Fase</t>
        </is>
      </c>
      <c r="D364" s="8" t="inlineStr">
        <is>
          <t>B</t>
        </is>
      </c>
      <c r="E364" s="8" t="inlineStr">
        <is>
          <t>Não</t>
        </is>
      </c>
      <c r="F364" s="8" t="n">
        <v>33</v>
      </c>
      <c r="G364" s="8" t="n">
        <v>0</v>
      </c>
      <c r="H364" s="9">
        <f>IF(F364=0,"",G364/F364)</f>
        <v/>
      </c>
    </row>
    <row r="365">
      <c r="A365" s="10" t="inlineStr">
        <is>
          <t>Simulado 01</t>
        </is>
      </c>
      <c r="B365" s="11" t="n">
        <v>19</v>
      </c>
      <c r="C365" s="11" t="inlineStr">
        <is>
          <t>7ª Fase</t>
        </is>
      </c>
      <c r="D365" s="11" t="inlineStr">
        <is>
          <t>C</t>
        </is>
      </c>
      <c r="E365" s="11" t="inlineStr">
        <is>
          <t>Não</t>
        </is>
      </c>
      <c r="F365" s="11" t="n">
        <v>33</v>
      </c>
      <c r="G365" s="11" t="n">
        <v>1</v>
      </c>
      <c r="H365" s="12">
        <f>IF(F365=0,"",G365/F365)</f>
        <v/>
      </c>
    </row>
    <row r="366">
      <c r="A366" s="7" t="inlineStr">
        <is>
          <t>Simulado 01</t>
        </is>
      </c>
      <c r="B366" s="8" t="n">
        <v>19</v>
      </c>
      <c r="C366" s="8" t="inlineStr">
        <is>
          <t>7ª Fase</t>
        </is>
      </c>
      <c r="D366" s="8" t="inlineStr">
        <is>
          <t>D</t>
        </is>
      </c>
      <c r="E366" s="8" t="inlineStr">
        <is>
          <t>Não</t>
        </is>
      </c>
      <c r="F366" s="8" t="n">
        <v>33</v>
      </c>
      <c r="G366" s="8" t="n">
        <v>0</v>
      </c>
      <c r="H366" s="9">
        <f>IF(F366=0,"",G366/F366)</f>
        <v/>
      </c>
    </row>
    <row r="367">
      <c r="A367" s="10" t="inlineStr">
        <is>
          <t>Simulado 01</t>
        </is>
      </c>
      <c r="B367" s="11" t="n">
        <v>19</v>
      </c>
      <c r="C367" s="11" t="inlineStr">
        <is>
          <t>7ª Fase</t>
        </is>
      </c>
      <c r="D367" s="11" t="inlineStr">
        <is>
          <t>E</t>
        </is>
      </c>
      <c r="E367" s="11" t="inlineStr">
        <is>
          <t>Sim</t>
        </is>
      </c>
      <c r="F367" s="11" t="n">
        <v>33</v>
      </c>
      <c r="G367" s="11" t="n">
        <v>32</v>
      </c>
      <c r="H367" s="12">
        <f>IF(F367=0,"",G367/F367)</f>
        <v/>
      </c>
    </row>
    <row r="368">
      <c r="A368" s="7" t="inlineStr">
        <is>
          <t>Simulado 01</t>
        </is>
      </c>
      <c r="B368" s="8" t="n">
        <v>19</v>
      </c>
      <c r="C368" s="8" t="inlineStr">
        <is>
          <t>10ª Fase</t>
        </is>
      </c>
      <c r="D368" s="8" t="inlineStr">
        <is>
          <t>A</t>
        </is>
      </c>
      <c r="E368" s="8" t="inlineStr">
        <is>
          <t>Não</t>
        </is>
      </c>
      <c r="F368" s="8" t="n">
        <v>31</v>
      </c>
      <c r="G368" s="8" t="n">
        <v>0</v>
      </c>
      <c r="H368" s="9">
        <f>IF(F368=0,"",G368/F368)</f>
        <v/>
      </c>
    </row>
    <row r="369">
      <c r="A369" s="10" t="inlineStr">
        <is>
          <t>Simulado 01</t>
        </is>
      </c>
      <c r="B369" s="11" t="n">
        <v>19</v>
      </c>
      <c r="C369" s="11" t="inlineStr">
        <is>
          <t>10ª Fase</t>
        </is>
      </c>
      <c r="D369" s="11" t="inlineStr">
        <is>
          <t>B</t>
        </is>
      </c>
      <c r="E369" s="11" t="inlineStr">
        <is>
          <t>Não</t>
        </is>
      </c>
      <c r="F369" s="11" t="n">
        <v>31</v>
      </c>
      <c r="G369" s="11" t="n">
        <v>0</v>
      </c>
      <c r="H369" s="12">
        <f>IF(F369=0,"",G369/F369)</f>
        <v/>
      </c>
    </row>
    <row r="370">
      <c r="A370" s="7" t="inlineStr">
        <is>
          <t>Simulado 01</t>
        </is>
      </c>
      <c r="B370" s="8" t="n">
        <v>19</v>
      </c>
      <c r="C370" s="8" t="inlineStr">
        <is>
          <t>10ª Fase</t>
        </is>
      </c>
      <c r="D370" s="8" t="inlineStr">
        <is>
          <t>C</t>
        </is>
      </c>
      <c r="E370" s="8" t="inlineStr">
        <is>
          <t>Não</t>
        </is>
      </c>
      <c r="F370" s="8" t="n">
        <v>31</v>
      </c>
      <c r="G370" s="8" t="n">
        <v>0</v>
      </c>
      <c r="H370" s="9">
        <f>IF(F370=0,"",G370/F370)</f>
        <v/>
      </c>
    </row>
    <row r="371">
      <c r="A371" s="10" t="inlineStr">
        <is>
          <t>Simulado 01</t>
        </is>
      </c>
      <c r="B371" s="11" t="n">
        <v>19</v>
      </c>
      <c r="C371" s="11" t="inlineStr">
        <is>
          <t>10ª Fase</t>
        </is>
      </c>
      <c r="D371" s="11" t="inlineStr">
        <is>
          <t>D</t>
        </is>
      </c>
      <c r="E371" s="11" t="inlineStr">
        <is>
          <t>Não</t>
        </is>
      </c>
      <c r="F371" s="11" t="n">
        <v>31</v>
      </c>
      <c r="G371" s="11" t="n">
        <v>7</v>
      </c>
      <c r="H371" s="12">
        <f>IF(F371=0,"",G371/F371)</f>
        <v/>
      </c>
    </row>
    <row r="372">
      <c r="A372" s="7" t="inlineStr">
        <is>
          <t>Simulado 01</t>
        </is>
      </c>
      <c r="B372" s="8" t="n">
        <v>19</v>
      </c>
      <c r="C372" s="8" t="inlineStr">
        <is>
          <t>10ª Fase</t>
        </is>
      </c>
      <c r="D372" s="8" t="inlineStr">
        <is>
          <t>E</t>
        </is>
      </c>
      <c r="E372" s="8" t="inlineStr">
        <is>
          <t>Sim</t>
        </is>
      </c>
      <c r="F372" s="8" t="n">
        <v>31</v>
      </c>
      <c r="G372" s="8" t="n">
        <v>24</v>
      </c>
      <c r="H372" s="9">
        <f>IF(F372=0,"",G372/F372)</f>
        <v/>
      </c>
    </row>
    <row r="373">
      <c r="A373" s="10" t="inlineStr">
        <is>
          <t>Simulado 01</t>
        </is>
      </c>
      <c r="B373" s="11" t="n">
        <v>19</v>
      </c>
      <c r="C373" s="11" t="inlineStr">
        <is>
          <t>11ª Fase</t>
        </is>
      </c>
      <c r="D373" s="11" t="inlineStr">
        <is>
          <t>A</t>
        </is>
      </c>
      <c r="E373" s="11" t="inlineStr">
        <is>
          <t>Não</t>
        </is>
      </c>
      <c r="F373" s="11" t="n">
        <v>27</v>
      </c>
      <c r="G373" s="11" t="n">
        <v>0</v>
      </c>
      <c r="H373" s="12">
        <f>IF(F373=0,"",G373/F373)</f>
        <v/>
      </c>
    </row>
    <row r="374">
      <c r="A374" s="7" t="inlineStr">
        <is>
          <t>Simulado 01</t>
        </is>
      </c>
      <c r="B374" s="8" t="n">
        <v>19</v>
      </c>
      <c r="C374" s="8" t="inlineStr">
        <is>
          <t>11ª Fase</t>
        </is>
      </c>
      <c r="D374" s="8" t="inlineStr">
        <is>
          <t>B</t>
        </is>
      </c>
      <c r="E374" s="8" t="inlineStr">
        <is>
          <t>Não</t>
        </is>
      </c>
      <c r="F374" s="8" t="n">
        <v>27</v>
      </c>
      <c r="G374" s="8" t="n">
        <v>0</v>
      </c>
      <c r="H374" s="9">
        <f>IF(F374=0,"",G374/F374)</f>
        <v/>
      </c>
    </row>
    <row r="375">
      <c r="A375" s="10" t="inlineStr">
        <is>
          <t>Simulado 01</t>
        </is>
      </c>
      <c r="B375" s="11" t="n">
        <v>19</v>
      </c>
      <c r="C375" s="11" t="inlineStr">
        <is>
          <t>11ª Fase</t>
        </is>
      </c>
      <c r="D375" s="11" t="inlineStr">
        <is>
          <t>C</t>
        </is>
      </c>
      <c r="E375" s="11" t="inlineStr">
        <is>
          <t>Não</t>
        </is>
      </c>
      <c r="F375" s="11" t="n">
        <v>27</v>
      </c>
      <c r="G375" s="11" t="n">
        <v>0</v>
      </c>
      <c r="H375" s="12">
        <f>IF(F375=0,"",G375/F375)</f>
        <v/>
      </c>
    </row>
    <row r="376">
      <c r="A376" s="7" t="inlineStr">
        <is>
          <t>Simulado 01</t>
        </is>
      </c>
      <c r="B376" s="8" t="n">
        <v>19</v>
      </c>
      <c r="C376" s="8" t="inlineStr">
        <is>
          <t>11ª Fase</t>
        </is>
      </c>
      <c r="D376" s="8" t="inlineStr">
        <is>
          <t>D</t>
        </is>
      </c>
      <c r="E376" s="8" t="inlineStr">
        <is>
          <t>Não</t>
        </is>
      </c>
      <c r="F376" s="8" t="n">
        <v>27</v>
      </c>
      <c r="G376" s="8" t="n">
        <v>5</v>
      </c>
      <c r="H376" s="9">
        <f>IF(F376=0,"",G376/F376)</f>
        <v/>
      </c>
    </row>
    <row r="377">
      <c r="A377" s="10" t="inlineStr">
        <is>
          <t>Simulado 01</t>
        </is>
      </c>
      <c r="B377" s="11" t="n">
        <v>19</v>
      </c>
      <c r="C377" s="11" t="inlineStr">
        <is>
          <t>11ª Fase</t>
        </is>
      </c>
      <c r="D377" s="11" t="inlineStr">
        <is>
          <t>E</t>
        </is>
      </c>
      <c r="E377" s="11" t="inlineStr">
        <is>
          <t>Sim</t>
        </is>
      </c>
      <c r="F377" s="11" t="n">
        <v>27</v>
      </c>
      <c r="G377" s="11" t="n">
        <v>22</v>
      </c>
      <c r="H377" s="12">
        <f>IF(F377=0,"",G377/F377)</f>
        <v/>
      </c>
    </row>
    <row r="378">
      <c r="A378" s="7" t="inlineStr">
        <is>
          <t>Simulado 01</t>
        </is>
      </c>
      <c r="B378" s="8" t="n">
        <v>20</v>
      </c>
      <c r="C378" s="8" t="inlineStr">
        <is>
          <t>6ª Fase</t>
        </is>
      </c>
      <c r="D378" s="8" t="inlineStr">
        <is>
          <t>A</t>
        </is>
      </c>
      <c r="E378" s="8" t="inlineStr">
        <is>
          <t>Não</t>
        </is>
      </c>
      <c r="F378" s="8" t="n">
        <v>27</v>
      </c>
      <c r="G378" s="8" t="n">
        <v>1</v>
      </c>
      <c r="H378" s="9">
        <f>IF(F378=0,"",G378/F378)</f>
        <v/>
      </c>
    </row>
    <row r="379">
      <c r="A379" s="10" t="inlineStr">
        <is>
          <t>Simulado 01</t>
        </is>
      </c>
      <c r="B379" s="11" t="n">
        <v>20</v>
      </c>
      <c r="C379" s="11" t="inlineStr">
        <is>
          <t>6ª Fase</t>
        </is>
      </c>
      <c r="D379" s="11" t="inlineStr">
        <is>
          <t>B</t>
        </is>
      </c>
      <c r="E379" s="11" t="inlineStr">
        <is>
          <t>Sim</t>
        </is>
      </c>
      <c r="F379" s="11" t="n">
        <v>27</v>
      </c>
      <c r="G379" s="11" t="n">
        <v>3</v>
      </c>
      <c r="H379" s="12">
        <f>IF(F379=0,"",G379/F379)</f>
        <v/>
      </c>
    </row>
    <row r="380">
      <c r="A380" s="7" t="inlineStr">
        <is>
          <t>Simulado 01</t>
        </is>
      </c>
      <c r="B380" s="8" t="n">
        <v>20</v>
      </c>
      <c r="C380" s="8" t="inlineStr">
        <is>
          <t>6ª Fase</t>
        </is>
      </c>
      <c r="D380" s="8" t="inlineStr">
        <is>
          <t>C</t>
        </is>
      </c>
      <c r="E380" s="8" t="inlineStr">
        <is>
          <t>Não</t>
        </is>
      </c>
      <c r="F380" s="8" t="n">
        <v>27</v>
      </c>
      <c r="G380" s="8" t="n">
        <v>9</v>
      </c>
      <c r="H380" s="9">
        <f>IF(F380=0,"",G380/F380)</f>
        <v/>
      </c>
    </row>
    <row r="381">
      <c r="A381" s="10" t="inlineStr">
        <is>
          <t>Simulado 01</t>
        </is>
      </c>
      <c r="B381" s="11" t="n">
        <v>20</v>
      </c>
      <c r="C381" s="11" t="inlineStr">
        <is>
          <t>6ª Fase</t>
        </is>
      </c>
      <c r="D381" s="11" t="inlineStr">
        <is>
          <t>D</t>
        </is>
      </c>
      <c r="E381" s="11" t="inlineStr">
        <is>
          <t>Não</t>
        </is>
      </c>
      <c r="F381" s="11" t="n">
        <v>27</v>
      </c>
      <c r="G381" s="11" t="n">
        <v>2</v>
      </c>
      <c r="H381" s="12">
        <f>IF(F381=0,"",G381/F381)</f>
        <v/>
      </c>
    </row>
    <row r="382">
      <c r="A382" s="7" t="inlineStr">
        <is>
          <t>Simulado 01</t>
        </is>
      </c>
      <c r="B382" s="8" t="n">
        <v>20</v>
      </c>
      <c r="C382" s="8" t="inlineStr">
        <is>
          <t>6ª Fase</t>
        </is>
      </c>
      <c r="D382" s="8" t="inlineStr">
        <is>
          <t>E</t>
        </is>
      </c>
      <c r="E382" s="8" t="inlineStr">
        <is>
          <t>Não</t>
        </is>
      </c>
      <c r="F382" s="8" t="n">
        <v>27</v>
      </c>
      <c r="G382" s="8" t="n">
        <v>12</v>
      </c>
      <c r="H382" s="9">
        <f>IF(F382=0,"",G382/F382)</f>
        <v/>
      </c>
    </row>
    <row r="383">
      <c r="A383" s="10" t="inlineStr">
        <is>
          <t>Simulado 01</t>
        </is>
      </c>
      <c r="B383" s="11" t="n">
        <v>20</v>
      </c>
      <c r="C383" s="11" t="inlineStr">
        <is>
          <t>7ª Fase</t>
        </is>
      </c>
      <c r="D383" s="11" t="inlineStr">
        <is>
          <t>A</t>
        </is>
      </c>
      <c r="E383" s="11" t="inlineStr">
        <is>
          <t>Não</t>
        </is>
      </c>
      <c r="F383" s="11" t="n">
        <v>33</v>
      </c>
      <c r="G383" s="11" t="n">
        <v>1</v>
      </c>
      <c r="H383" s="12">
        <f>IF(F383=0,"",G383/F383)</f>
        <v/>
      </c>
    </row>
    <row r="384">
      <c r="A384" s="7" t="inlineStr">
        <is>
          <t>Simulado 01</t>
        </is>
      </c>
      <c r="B384" s="8" t="n">
        <v>20</v>
      </c>
      <c r="C384" s="8" t="inlineStr">
        <is>
          <t>7ª Fase</t>
        </is>
      </c>
      <c r="D384" s="8" t="inlineStr">
        <is>
          <t>B</t>
        </is>
      </c>
      <c r="E384" s="8" t="inlineStr">
        <is>
          <t>Sim</t>
        </is>
      </c>
      <c r="F384" s="8" t="n">
        <v>33</v>
      </c>
      <c r="G384" s="8" t="n">
        <v>1</v>
      </c>
      <c r="H384" s="9">
        <f>IF(F384=0,"",G384/F384)</f>
        <v/>
      </c>
    </row>
    <row r="385">
      <c r="A385" s="10" t="inlineStr">
        <is>
          <t>Simulado 01</t>
        </is>
      </c>
      <c r="B385" s="11" t="n">
        <v>20</v>
      </c>
      <c r="C385" s="11" t="inlineStr">
        <is>
          <t>7ª Fase</t>
        </is>
      </c>
      <c r="D385" s="11" t="inlineStr">
        <is>
          <t>C</t>
        </is>
      </c>
      <c r="E385" s="11" t="inlineStr">
        <is>
          <t>Não</t>
        </is>
      </c>
      <c r="F385" s="11" t="n">
        <v>33</v>
      </c>
      <c r="G385" s="11" t="n">
        <v>14</v>
      </c>
      <c r="H385" s="12">
        <f>IF(F385=0,"",G385/F385)</f>
        <v/>
      </c>
    </row>
    <row r="386">
      <c r="A386" s="7" t="inlineStr">
        <is>
          <t>Simulado 01</t>
        </is>
      </c>
      <c r="B386" s="8" t="n">
        <v>20</v>
      </c>
      <c r="C386" s="8" t="inlineStr">
        <is>
          <t>7ª Fase</t>
        </is>
      </c>
      <c r="D386" s="8" t="inlineStr">
        <is>
          <t>D</t>
        </is>
      </c>
      <c r="E386" s="8" t="inlineStr">
        <is>
          <t>Não</t>
        </is>
      </c>
      <c r="F386" s="8" t="n">
        <v>33</v>
      </c>
      <c r="G386" s="8" t="n">
        <v>3</v>
      </c>
      <c r="H386" s="9">
        <f>IF(F386=0,"",G386/F386)</f>
        <v/>
      </c>
    </row>
    <row r="387">
      <c r="A387" s="10" t="inlineStr">
        <is>
          <t>Simulado 01</t>
        </is>
      </c>
      <c r="B387" s="11" t="n">
        <v>20</v>
      </c>
      <c r="C387" s="11" t="inlineStr">
        <is>
          <t>7ª Fase</t>
        </is>
      </c>
      <c r="D387" s="11" t="inlineStr">
        <is>
          <t>E</t>
        </is>
      </c>
      <c r="E387" s="11" t="inlineStr">
        <is>
          <t>Não</t>
        </is>
      </c>
      <c r="F387" s="11" t="n">
        <v>33</v>
      </c>
      <c r="G387" s="11" t="n">
        <v>14</v>
      </c>
      <c r="H387" s="12">
        <f>IF(F387=0,"",G387/F387)</f>
        <v/>
      </c>
    </row>
    <row r="388">
      <c r="A388" s="7" t="inlineStr">
        <is>
          <t>Simulado 01</t>
        </is>
      </c>
      <c r="B388" s="8" t="n">
        <v>20</v>
      </c>
      <c r="C388" s="8" t="inlineStr">
        <is>
          <t>10ª Fase</t>
        </is>
      </c>
      <c r="D388" s="8" t="inlineStr">
        <is>
          <t>A</t>
        </is>
      </c>
      <c r="E388" s="8" t="inlineStr">
        <is>
          <t>Não</t>
        </is>
      </c>
      <c r="F388" s="8" t="n">
        <v>31</v>
      </c>
      <c r="G388" s="8" t="n">
        <v>1</v>
      </c>
      <c r="H388" s="9">
        <f>IF(F388=0,"",G388/F388)</f>
        <v/>
      </c>
    </row>
    <row r="389">
      <c r="A389" s="10" t="inlineStr">
        <is>
          <t>Simulado 01</t>
        </is>
      </c>
      <c r="B389" s="11" t="n">
        <v>20</v>
      </c>
      <c r="C389" s="11" t="inlineStr">
        <is>
          <t>10ª Fase</t>
        </is>
      </c>
      <c r="D389" s="11" t="inlineStr">
        <is>
          <t>B</t>
        </is>
      </c>
      <c r="E389" s="11" t="inlineStr">
        <is>
          <t>Sim</t>
        </is>
      </c>
      <c r="F389" s="11" t="n">
        <v>31</v>
      </c>
      <c r="G389" s="11" t="n">
        <v>1</v>
      </c>
      <c r="H389" s="12">
        <f>IF(F389=0,"",G389/F389)</f>
        <v/>
      </c>
    </row>
    <row r="390">
      <c r="A390" s="7" t="inlineStr">
        <is>
          <t>Simulado 01</t>
        </is>
      </c>
      <c r="B390" s="8" t="n">
        <v>20</v>
      </c>
      <c r="C390" s="8" t="inlineStr">
        <is>
          <t>10ª Fase</t>
        </is>
      </c>
      <c r="D390" s="8" t="inlineStr">
        <is>
          <t>C</t>
        </is>
      </c>
      <c r="E390" s="8" t="inlineStr">
        <is>
          <t>Não</t>
        </is>
      </c>
      <c r="F390" s="8" t="n">
        <v>31</v>
      </c>
      <c r="G390" s="8" t="n">
        <v>15</v>
      </c>
      <c r="H390" s="9">
        <f>IF(F390=0,"",G390/F390)</f>
        <v/>
      </c>
    </row>
    <row r="391">
      <c r="A391" s="10" t="inlineStr">
        <is>
          <t>Simulado 01</t>
        </is>
      </c>
      <c r="B391" s="11" t="n">
        <v>20</v>
      </c>
      <c r="C391" s="11" t="inlineStr">
        <is>
          <t>10ª Fase</t>
        </is>
      </c>
      <c r="D391" s="11" t="inlineStr">
        <is>
          <t>D</t>
        </is>
      </c>
      <c r="E391" s="11" t="inlineStr">
        <is>
          <t>Não</t>
        </is>
      </c>
      <c r="F391" s="11" t="n">
        <v>31</v>
      </c>
      <c r="G391" s="11" t="n">
        <v>0</v>
      </c>
      <c r="H391" s="12">
        <f>IF(F391=0,"",G391/F391)</f>
        <v/>
      </c>
    </row>
    <row r="392">
      <c r="A392" s="7" t="inlineStr">
        <is>
          <t>Simulado 01</t>
        </is>
      </c>
      <c r="B392" s="8" t="n">
        <v>20</v>
      </c>
      <c r="C392" s="8" t="inlineStr">
        <is>
          <t>10ª Fase</t>
        </is>
      </c>
      <c r="D392" s="8" t="inlineStr">
        <is>
          <t>E</t>
        </is>
      </c>
      <c r="E392" s="8" t="inlineStr">
        <is>
          <t>Não</t>
        </is>
      </c>
      <c r="F392" s="8" t="n">
        <v>31</v>
      </c>
      <c r="G392" s="8" t="n">
        <v>14</v>
      </c>
      <c r="H392" s="9">
        <f>IF(F392=0,"",G392/F392)</f>
        <v/>
      </c>
    </row>
    <row r="393">
      <c r="A393" s="10" t="inlineStr">
        <is>
          <t>Simulado 01</t>
        </is>
      </c>
      <c r="B393" s="11" t="n">
        <v>20</v>
      </c>
      <c r="C393" s="11" t="inlineStr">
        <is>
          <t>11ª Fase</t>
        </is>
      </c>
      <c r="D393" s="11" t="inlineStr">
        <is>
          <t>A</t>
        </is>
      </c>
      <c r="E393" s="11" t="inlineStr">
        <is>
          <t>Não</t>
        </is>
      </c>
      <c r="F393" s="11" t="n">
        <v>27</v>
      </c>
      <c r="G393" s="11" t="n">
        <v>1</v>
      </c>
      <c r="H393" s="12">
        <f>IF(F393=0,"",G393/F393)</f>
        <v/>
      </c>
    </row>
    <row r="394">
      <c r="A394" s="7" t="inlineStr">
        <is>
          <t>Simulado 01</t>
        </is>
      </c>
      <c r="B394" s="8" t="n">
        <v>20</v>
      </c>
      <c r="C394" s="8" t="inlineStr">
        <is>
          <t>11ª Fase</t>
        </is>
      </c>
      <c r="D394" s="8" t="inlineStr">
        <is>
          <t>B</t>
        </is>
      </c>
      <c r="E394" s="8" t="inlineStr">
        <is>
          <t>Sim</t>
        </is>
      </c>
      <c r="F394" s="8" t="n">
        <v>27</v>
      </c>
      <c r="G394" s="8" t="n">
        <v>1</v>
      </c>
      <c r="H394" s="9">
        <f>IF(F394=0,"",G394/F394)</f>
        <v/>
      </c>
    </row>
    <row r="395">
      <c r="A395" s="10" t="inlineStr">
        <is>
          <t>Simulado 01</t>
        </is>
      </c>
      <c r="B395" s="11" t="n">
        <v>20</v>
      </c>
      <c r="C395" s="11" t="inlineStr">
        <is>
          <t>11ª Fase</t>
        </is>
      </c>
      <c r="D395" s="11" t="inlineStr">
        <is>
          <t>C</t>
        </is>
      </c>
      <c r="E395" s="11" t="inlineStr">
        <is>
          <t>Não</t>
        </is>
      </c>
      <c r="F395" s="11" t="n">
        <v>27</v>
      </c>
      <c r="G395" s="11" t="n">
        <v>7</v>
      </c>
      <c r="H395" s="12">
        <f>IF(F395=0,"",G395/F395)</f>
        <v/>
      </c>
    </row>
    <row r="396">
      <c r="A396" s="7" t="inlineStr">
        <is>
          <t>Simulado 01</t>
        </is>
      </c>
      <c r="B396" s="8" t="n">
        <v>20</v>
      </c>
      <c r="C396" s="8" t="inlineStr">
        <is>
          <t>11ª Fase</t>
        </is>
      </c>
      <c r="D396" s="8" t="inlineStr">
        <is>
          <t>D</t>
        </is>
      </c>
      <c r="E396" s="8" t="inlineStr">
        <is>
          <t>Não</t>
        </is>
      </c>
      <c r="F396" s="8" t="n">
        <v>27</v>
      </c>
      <c r="G396" s="8" t="n">
        <v>0</v>
      </c>
      <c r="H396" s="9">
        <f>IF(F396=0,"",G396/F396)</f>
        <v/>
      </c>
    </row>
    <row r="397">
      <c r="A397" s="10" t="inlineStr">
        <is>
          <t>Simulado 01</t>
        </is>
      </c>
      <c r="B397" s="11" t="n">
        <v>20</v>
      </c>
      <c r="C397" s="11" t="inlineStr">
        <is>
          <t>11ª Fase</t>
        </is>
      </c>
      <c r="D397" s="11" t="inlineStr">
        <is>
          <t>E</t>
        </is>
      </c>
      <c r="E397" s="11" t="inlineStr">
        <is>
          <t>Não</t>
        </is>
      </c>
      <c r="F397" s="11" t="n">
        <v>27</v>
      </c>
      <c r="G397" s="11" t="n">
        <v>18</v>
      </c>
      <c r="H397" s="12">
        <f>IF(F397=0,"",G397/F397)</f>
        <v/>
      </c>
    </row>
    <row r="398">
      <c r="A398" s="7" t="inlineStr">
        <is>
          <t>Simulado 01</t>
        </is>
      </c>
      <c r="B398" s="8" t="n">
        <v>21</v>
      </c>
      <c r="C398" s="8" t="inlineStr">
        <is>
          <t>6ª Fase</t>
        </is>
      </c>
      <c r="D398" s="8" t="inlineStr">
        <is>
          <t>A</t>
        </is>
      </c>
      <c r="E398" s="8" t="inlineStr">
        <is>
          <t>Sim</t>
        </is>
      </c>
      <c r="F398" s="8" t="n">
        <v>27</v>
      </c>
      <c r="G398" s="8" t="n">
        <v>22</v>
      </c>
      <c r="H398" s="9">
        <f>IF(F398=0,"",G398/F398)</f>
        <v/>
      </c>
    </row>
    <row r="399">
      <c r="A399" s="10" t="inlineStr">
        <is>
          <t>Simulado 01</t>
        </is>
      </c>
      <c r="B399" s="11" t="n">
        <v>21</v>
      </c>
      <c r="C399" s="11" t="inlineStr">
        <is>
          <t>6ª Fase</t>
        </is>
      </c>
      <c r="D399" s="11" t="inlineStr">
        <is>
          <t>B</t>
        </is>
      </c>
      <c r="E399" s="11" t="inlineStr">
        <is>
          <t>Não</t>
        </is>
      </c>
      <c r="F399" s="11" t="n">
        <v>27</v>
      </c>
      <c r="G399" s="11" t="n">
        <v>0</v>
      </c>
      <c r="H399" s="12">
        <f>IF(F399=0,"",G399/F399)</f>
        <v/>
      </c>
    </row>
    <row r="400">
      <c r="A400" s="7" t="inlineStr">
        <is>
          <t>Simulado 01</t>
        </is>
      </c>
      <c r="B400" s="8" t="n">
        <v>21</v>
      </c>
      <c r="C400" s="8" t="inlineStr">
        <is>
          <t>6ª Fase</t>
        </is>
      </c>
      <c r="D400" s="8" t="inlineStr">
        <is>
          <t>C</t>
        </is>
      </c>
      <c r="E400" s="8" t="inlineStr">
        <is>
          <t>Não</t>
        </is>
      </c>
      <c r="F400" s="8" t="n">
        <v>27</v>
      </c>
      <c r="G400" s="8" t="n">
        <v>4</v>
      </c>
      <c r="H400" s="9">
        <f>IF(F400=0,"",G400/F400)</f>
        <v/>
      </c>
    </row>
    <row r="401">
      <c r="A401" s="10" t="inlineStr">
        <is>
          <t>Simulado 01</t>
        </is>
      </c>
      <c r="B401" s="11" t="n">
        <v>21</v>
      </c>
      <c r="C401" s="11" t="inlineStr">
        <is>
          <t>6ª Fase</t>
        </is>
      </c>
      <c r="D401" s="11" t="inlineStr">
        <is>
          <t>D</t>
        </is>
      </c>
      <c r="E401" s="11" t="inlineStr">
        <is>
          <t>Não</t>
        </is>
      </c>
      <c r="F401" s="11" t="n">
        <v>27</v>
      </c>
      <c r="G401" s="11" t="n">
        <v>0</v>
      </c>
      <c r="H401" s="12">
        <f>IF(F401=0,"",G401/F401)</f>
        <v/>
      </c>
    </row>
    <row r="402">
      <c r="A402" s="7" t="inlineStr">
        <is>
          <t>Simulado 01</t>
        </is>
      </c>
      <c r="B402" s="8" t="n">
        <v>21</v>
      </c>
      <c r="C402" s="8" t="inlineStr">
        <is>
          <t>6ª Fase</t>
        </is>
      </c>
      <c r="D402" s="8" t="inlineStr">
        <is>
          <t>E</t>
        </is>
      </c>
      <c r="E402" s="8" t="inlineStr">
        <is>
          <t>Não</t>
        </is>
      </c>
      <c r="F402" s="8" t="n">
        <v>27</v>
      </c>
      <c r="G402" s="8" t="n">
        <v>1</v>
      </c>
      <c r="H402" s="9">
        <f>IF(F402=0,"",G402/F402)</f>
        <v/>
      </c>
    </row>
    <row r="403">
      <c r="A403" s="10" t="inlineStr">
        <is>
          <t>Simulado 01</t>
        </is>
      </c>
      <c r="B403" s="11" t="n">
        <v>21</v>
      </c>
      <c r="C403" s="11" t="inlineStr">
        <is>
          <t>7ª Fase</t>
        </is>
      </c>
      <c r="D403" s="11" t="inlineStr">
        <is>
          <t>A</t>
        </is>
      </c>
      <c r="E403" s="11" t="inlineStr">
        <is>
          <t>Sim</t>
        </is>
      </c>
      <c r="F403" s="11" t="n">
        <v>33</v>
      </c>
      <c r="G403" s="11" t="n">
        <v>28</v>
      </c>
      <c r="H403" s="12">
        <f>IF(F403=0,"",G403/F403)</f>
        <v/>
      </c>
    </row>
    <row r="404">
      <c r="A404" s="7" t="inlineStr">
        <is>
          <t>Simulado 01</t>
        </is>
      </c>
      <c r="B404" s="8" t="n">
        <v>21</v>
      </c>
      <c r="C404" s="8" t="inlineStr">
        <is>
          <t>7ª Fase</t>
        </is>
      </c>
      <c r="D404" s="8" t="inlineStr">
        <is>
          <t>B</t>
        </is>
      </c>
      <c r="E404" s="8" t="inlineStr">
        <is>
          <t>Não</t>
        </is>
      </c>
      <c r="F404" s="8" t="n">
        <v>33</v>
      </c>
      <c r="G404" s="8" t="n">
        <v>4</v>
      </c>
      <c r="H404" s="9">
        <f>IF(F404=0,"",G404/F404)</f>
        <v/>
      </c>
    </row>
    <row r="405">
      <c r="A405" s="10" t="inlineStr">
        <is>
          <t>Simulado 01</t>
        </is>
      </c>
      <c r="B405" s="11" t="n">
        <v>21</v>
      </c>
      <c r="C405" s="11" t="inlineStr">
        <is>
          <t>7ª Fase</t>
        </is>
      </c>
      <c r="D405" s="11" t="inlineStr">
        <is>
          <t>C</t>
        </is>
      </c>
      <c r="E405" s="11" t="inlineStr">
        <is>
          <t>Não</t>
        </is>
      </c>
      <c r="F405" s="11" t="n">
        <v>33</v>
      </c>
      <c r="G405" s="11" t="n">
        <v>1</v>
      </c>
      <c r="H405" s="12">
        <f>IF(F405=0,"",G405/F405)</f>
        <v/>
      </c>
    </row>
    <row r="406">
      <c r="A406" s="7" t="inlineStr">
        <is>
          <t>Simulado 01</t>
        </is>
      </c>
      <c r="B406" s="8" t="n">
        <v>21</v>
      </c>
      <c r="C406" s="8" t="inlineStr">
        <is>
          <t>7ª Fase</t>
        </is>
      </c>
      <c r="D406" s="8" t="inlineStr">
        <is>
          <t>D</t>
        </is>
      </c>
      <c r="E406" s="8" t="inlineStr">
        <is>
          <t>Não</t>
        </is>
      </c>
      <c r="F406" s="8" t="n">
        <v>33</v>
      </c>
      <c r="G406" s="8" t="n">
        <v>0</v>
      </c>
      <c r="H406" s="9">
        <f>IF(F406=0,"",G406/F406)</f>
        <v/>
      </c>
    </row>
    <row r="407">
      <c r="A407" s="10" t="inlineStr">
        <is>
          <t>Simulado 01</t>
        </is>
      </c>
      <c r="B407" s="11" t="n">
        <v>21</v>
      </c>
      <c r="C407" s="11" t="inlineStr">
        <is>
          <t>7ª Fase</t>
        </is>
      </c>
      <c r="D407" s="11" t="inlineStr">
        <is>
          <t>E</t>
        </is>
      </c>
      <c r="E407" s="11" t="inlineStr">
        <is>
          <t>Não</t>
        </is>
      </c>
      <c r="F407" s="11" t="n">
        <v>33</v>
      </c>
      <c r="G407" s="11" t="n">
        <v>0</v>
      </c>
      <c r="H407" s="12">
        <f>IF(F407=0,"",G407/F407)</f>
        <v/>
      </c>
    </row>
    <row r="408">
      <c r="A408" s="7" t="inlineStr">
        <is>
          <t>Simulado 01</t>
        </is>
      </c>
      <c r="B408" s="8" t="n">
        <v>21</v>
      </c>
      <c r="C408" s="8" t="inlineStr">
        <is>
          <t>10ª Fase</t>
        </is>
      </c>
      <c r="D408" s="8" t="inlineStr">
        <is>
          <t>A</t>
        </is>
      </c>
      <c r="E408" s="8" t="inlineStr">
        <is>
          <t>Sim</t>
        </is>
      </c>
      <c r="F408" s="8" t="n">
        <v>31</v>
      </c>
      <c r="G408" s="8" t="n">
        <v>28</v>
      </c>
      <c r="H408" s="9">
        <f>IF(F408=0,"",G408/F408)</f>
        <v/>
      </c>
    </row>
    <row r="409">
      <c r="A409" s="10" t="inlineStr">
        <is>
          <t>Simulado 01</t>
        </is>
      </c>
      <c r="B409" s="11" t="n">
        <v>21</v>
      </c>
      <c r="C409" s="11" t="inlineStr">
        <is>
          <t>10ª Fase</t>
        </is>
      </c>
      <c r="D409" s="11" t="inlineStr">
        <is>
          <t>B</t>
        </is>
      </c>
      <c r="E409" s="11" t="inlineStr">
        <is>
          <t>Não</t>
        </is>
      </c>
      <c r="F409" s="11" t="n">
        <v>31</v>
      </c>
      <c r="G409" s="11" t="n">
        <v>0</v>
      </c>
      <c r="H409" s="12">
        <f>IF(F409=0,"",G409/F409)</f>
        <v/>
      </c>
    </row>
    <row r="410">
      <c r="A410" s="7" t="inlineStr">
        <is>
          <t>Simulado 01</t>
        </is>
      </c>
      <c r="B410" s="8" t="n">
        <v>21</v>
      </c>
      <c r="C410" s="8" t="inlineStr">
        <is>
          <t>10ª Fase</t>
        </is>
      </c>
      <c r="D410" s="8" t="inlineStr">
        <is>
          <t>C</t>
        </is>
      </c>
      <c r="E410" s="8" t="inlineStr">
        <is>
          <t>Não</t>
        </is>
      </c>
      <c r="F410" s="8" t="n">
        <v>31</v>
      </c>
      <c r="G410" s="8" t="n">
        <v>2</v>
      </c>
      <c r="H410" s="9">
        <f>IF(F410=0,"",G410/F410)</f>
        <v/>
      </c>
    </row>
    <row r="411">
      <c r="A411" s="10" t="inlineStr">
        <is>
          <t>Simulado 01</t>
        </is>
      </c>
      <c r="B411" s="11" t="n">
        <v>21</v>
      </c>
      <c r="C411" s="11" t="inlineStr">
        <is>
          <t>10ª Fase</t>
        </is>
      </c>
      <c r="D411" s="11" t="inlineStr">
        <is>
          <t>D</t>
        </is>
      </c>
      <c r="E411" s="11" t="inlineStr">
        <is>
          <t>Não</t>
        </is>
      </c>
      <c r="F411" s="11" t="n">
        <v>31</v>
      </c>
      <c r="G411" s="11" t="n">
        <v>0</v>
      </c>
      <c r="H411" s="12">
        <f>IF(F411=0,"",G411/F411)</f>
        <v/>
      </c>
    </row>
    <row r="412">
      <c r="A412" s="7" t="inlineStr">
        <is>
          <t>Simulado 01</t>
        </is>
      </c>
      <c r="B412" s="8" t="n">
        <v>21</v>
      </c>
      <c r="C412" s="8" t="inlineStr">
        <is>
          <t>10ª Fase</t>
        </is>
      </c>
      <c r="D412" s="8" t="inlineStr">
        <is>
          <t>E</t>
        </is>
      </c>
      <c r="E412" s="8" t="inlineStr">
        <is>
          <t>Não</t>
        </is>
      </c>
      <c r="F412" s="8" t="n">
        <v>31</v>
      </c>
      <c r="G412" s="8" t="n">
        <v>1</v>
      </c>
      <c r="H412" s="9">
        <f>IF(F412=0,"",G412/F412)</f>
        <v/>
      </c>
    </row>
    <row r="413">
      <c r="A413" s="10" t="inlineStr">
        <is>
          <t>Simulado 01</t>
        </is>
      </c>
      <c r="B413" s="11" t="n">
        <v>21</v>
      </c>
      <c r="C413" s="11" t="inlineStr">
        <is>
          <t>11ª Fase</t>
        </is>
      </c>
      <c r="D413" s="11" t="inlineStr">
        <is>
          <t>A</t>
        </is>
      </c>
      <c r="E413" s="11" t="inlineStr">
        <is>
          <t>Sim</t>
        </is>
      </c>
      <c r="F413" s="11" t="n">
        <v>27</v>
      </c>
      <c r="G413" s="11" t="n">
        <v>26</v>
      </c>
      <c r="H413" s="12">
        <f>IF(F413=0,"",G413/F413)</f>
        <v/>
      </c>
    </row>
    <row r="414">
      <c r="A414" s="7" t="inlineStr">
        <is>
          <t>Simulado 01</t>
        </is>
      </c>
      <c r="B414" s="8" t="n">
        <v>21</v>
      </c>
      <c r="C414" s="8" t="inlineStr">
        <is>
          <t>11ª Fase</t>
        </is>
      </c>
      <c r="D414" s="8" t="inlineStr">
        <is>
          <t>B</t>
        </is>
      </c>
      <c r="E414" s="8" t="inlineStr">
        <is>
          <t>Não</t>
        </is>
      </c>
      <c r="F414" s="8" t="n">
        <v>27</v>
      </c>
      <c r="G414" s="8" t="n">
        <v>0</v>
      </c>
      <c r="H414" s="9">
        <f>IF(F414=0,"",G414/F414)</f>
        <v/>
      </c>
    </row>
    <row r="415">
      <c r="A415" s="10" t="inlineStr">
        <is>
          <t>Simulado 01</t>
        </is>
      </c>
      <c r="B415" s="11" t="n">
        <v>21</v>
      </c>
      <c r="C415" s="11" t="inlineStr">
        <is>
          <t>11ª Fase</t>
        </is>
      </c>
      <c r="D415" s="11" t="inlineStr">
        <is>
          <t>C</t>
        </is>
      </c>
      <c r="E415" s="11" t="inlineStr">
        <is>
          <t>Não</t>
        </is>
      </c>
      <c r="F415" s="11" t="n">
        <v>27</v>
      </c>
      <c r="G415" s="11" t="n">
        <v>1</v>
      </c>
      <c r="H415" s="12">
        <f>IF(F415=0,"",G415/F415)</f>
        <v/>
      </c>
    </row>
    <row r="416">
      <c r="A416" s="7" t="inlineStr">
        <is>
          <t>Simulado 01</t>
        </is>
      </c>
      <c r="B416" s="8" t="n">
        <v>21</v>
      </c>
      <c r="C416" s="8" t="inlineStr">
        <is>
          <t>11ª Fase</t>
        </is>
      </c>
      <c r="D416" s="8" t="inlineStr">
        <is>
          <t>D</t>
        </is>
      </c>
      <c r="E416" s="8" t="inlineStr">
        <is>
          <t>Não</t>
        </is>
      </c>
      <c r="F416" s="8" t="n">
        <v>27</v>
      </c>
      <c r="G416" s="8" t="n">
        <v>0</v>
      </c>
      <c r="H416" s="9">
        <f>IF(F416=0,"",G416/F416)</f>
        <v/>
      </c>
    </row>
    <row r="417">
      <c r="A417" s="10" t="inlineStr">
        <is>
          <t>Simulado 01</t>
        </is>
      </c>
      <c r="B417" s="11" t="n">
        <v>21</v>
      </c>
      <c r="C417" s="11" t="inlineStr">
        <is>
          <t>11ª Fase</t>
        </is>
      </c>
      <c r="D417" s="11" t="inlineStr">
        <is>
          <t>E</t>
        </is>
      </c>
      <c r="E417" s="11" t="inlineStr">
        <is>
          <t>Não</t>
        </is>
      </c>
      <c r="F417" s="11" t="n">
        <v>27</v>
      </c>
      <c r="G417" s="11" t="n">
        <v>0</v>
      </c>
      <c r="H417" s="12">
        <f>IF(F417=0,"",G417/F417)</f>
        <v/>
      </c>
    </row>
    <row r="418">
      <c r="A418" s="7" t="inlineStr">
        <is>
          <t>Simulado 01</t>
        </is>
      </c>
      <c r="B418" s="8" t="n">
        <v>22</v>
      </c>
      <c r="C418" s="8" t="inlineStr">
        <is>
          <t>6ª Fase</t>
        </is>
      </c>
      <c r="D418" s="8" t="inlineStr">
        <is>
          <t>A</t>
        </is>
      </c>
      <c r="E418" s="8" t="inlineStr">
        <is>
          <t>Não</t>
        </is>
      </c>
      <c r="F418" s="8" t="n">
        <v>27</v>
      </c>
      <c r="G418" s="8" t="n">
        <v>2</v>
      </c>
      <c r="H418" s="9">
        <f>IF(F418=0,"",G418/F418)</f>
        <v/>
      </c>
    </row>
    <row r="419">
      <c r="A419" s="10" t="inlineStr">
        <is>
          <t>Simulado 01</t>
        </is>
      </c>
      <c r="B419" s="11" t="n">
        <v>22</v>
      </c>
      <c r="C419" s="11" t="inlineStr">
        <is>
          <t>6ª Fase</t>
        </is>
      </c>
      <c r="D419" s="11" t="inlineStr">
        <is>
          <t>B</t>
        </is>
      </c>
      <c r="E419" s="11" t="inlineStr">
        <is>
          <t>Sim</t>
        </is>
      </c>
      <c r="F419" s="11" t="n">
        <v>27</v>
      </c>
      <c r="G419" s="11" t="n">
        <v>20</v>
      </c>
      <c r="H419" s="12">
        <f>IF(F419=0,"",G419/F419)</f>
        <v/>
      </c>
    </row>
    <row r="420">
      <c r="A420" s="7" t="inlineStr">
        <is>
          <t>Simulado 01</t>
        </is>
      </c>
      <c r="B420" s="8" t="n">
        <v>22</v>
      </c>
      <c r="C420" s="8" t="inlineStr">
        <is>
          <t>6ª Fase</t>
        </is>
      </c>
      <c r="D420" s="8" t="inlineStr">
        <is>
          <t>C</t>
        </is>
      </c>
      <c r="E420" s="8" t="inlineStr">
        <is>
          <t>Não</t>
        </is>
      </c>
      <c r="F420" s="8" t="n">
        <v>27</v>
      </c>
      <c r="G420" s="8" t="n">
        <v>0</v>
      </c>
      <c r="H420" s="9">
        <f>IF(F420=0,"",G420/F420)</f>
        <v/>
      </c>
    </row>
    <row r="421">
      <c r="A421" s="10" t="inlineStr">
        <is>
          <t>Simulado 01</t>
        </is>
      </c>
      <c r="B421" s="11" t="n">
        <v>22</v>
      </c>
      <c r="C421" s="11" t="inlineStr">
        <is>
          <t>6ª Fase</t>
        </is>
      </c>
      <c r="D421" s="11" t="inlineStr">
        <is>
          <t>D</t>
        </is>
      </c>
      <c r="E421" s="11" t="inlineStr">
        <is>
          <t>Não</t>
        </is>
      </c>
      <c r="F421" s="11" t="n">
        <v>27</v>
      </c>
      <c r="G421" s="11" t="n">
        <v>5</v>
      </c>
      <c r="H421" s="12">
        <f>IF(F421=0,"",G421/F421)</f>
        <v/>
      </c>
    </row>
    <row r="422">
      <c r="A422" s="7" t="inlineStr">
        <is>
          <t>Simulado 01</t>
        </is>
      </c>
      <c r="B422" s="8" t="n">
        <v>22</v>
      </c>
      <c r="C422" s="8" t="inlineStr">
        <is>
          <t>6ª Fase</t>
        </is>
      </c>
      <c r="D422" s="8" t="inlineStr">
        <is>
          <t>E</t>
        </is>
      </c>
      <c r="E422" s="8" t="inlineStr">
        <is>
          <t>Não</t>
        </is>
      </c>
      <c r="F422" s="8" t="n">
        <v>27</v>
      </c>
      <c r="G422" s="8" t="n">
        <v>0</v>
      </c>
      <c r="H422" s="9">
        <f>IF(F422=0,"",G422/F422)</f>
        <v/>
      </c>
    </row>
    <row r="423">
      <c r="A423" s="10" t="inlineStr">
        <is>
          <t>Simulado 01</t>
        </is>
      </c>
      <c r="B423" s="11" t="n">
        <v>22</v>
      </c>
      <c r="C423" s="11" t="inlineStr">
        <is>
          <t>7ª Fase</t>
        </is>
      </c>
      <c r="D423" s="11" t="inlineStr">
        <is>
          <t>A</t>
        </is>
      </c>
      <c r="E423" s="11" t="inlineStr">
        <is>
          <t>Não</t>
        </is>
      </c>
      <c r="F423" s="11" t="n">
        <v>33</v>
      </c>
      <c r="G423" s="11" t="n">
        <v>1</v>
      </c>
      <c r="H423" s="12">
        <f>IF(F423=0,"",G423/F423)</f>
        <v/>
      </c>
    </row>
    <row r="424">
      <c r="A424" s="7" t="inlineStr">
        <is>
          <t>Simulado 01</t>
        </is>
      </c>
      <c r="B424" s="8" t="n">
        <v>22</v>
      </c>
      <c r="C424" s="8" t="inlineStr">
        <is>
          <t>7ª Fase</t>
        </is>
      </c>
      <c r="D424" s="8" t="inlineStr">
        <is>
          <t>B</t>
        </is>
      </c>
      <c r="E424" s="8" t="inlineStr">
        <is>
          <t>Sim</t>
        </is>
      </c>
      <c r="F424" s="8" t="n">
        <v>33</v>
      </c>
      <c r="G424" s="8" t="n">
        <v>27</v>
      </c>
      <c r="H424" s="9">
        <f>IF(F424=0,"",G424/F424)</f>
        <v/>
      </c>
    </row>
    <row r="425">
      <c r="A425" s="10" t="inlineStr">
        <is>
          <t>Simulado 01</t>
        </is>
      </c>
      <c r="B425" s="11" t="n">
        <v>22</v>
      </c>
      <c r="C425" s="11" t="inlineStr">
        <is>
          <t>7ª Fase</t>
        </is>
      </c>
      <c r="D425" s="11" t="inlineStr">
        <is>
          <t>C</t>
        </is>
      </c>
      <c r="E425" s="11" t="inlineStr">
        <is>
          <t>Não</t>
        </is>
      </c>
      <c r="F425" s="11" t="n">
        <v>33</v>
      </c>
      <c r="G425" s="11" t="n">
        <v>0</v>
      </c>
      <c r="H425" s="12">
        <f>IF(F425=0,"",G425/F425)</f>
        <v/>
      </c>
    </row>
    <row r="426">
      <c r="A426" s="7" t="inlineStr">
        <is>
          <t>Simulado 01</t>
        </is>
      </c>
      <c r="B426" s="8" t="n">
        <v>22</v>
      </c>
      <c r="C426" s="8" t="inlineStr">
        <is>
          <t>7ª Fase</t>
        </is>
      </c>
      <c r="D426" s="8" t="inlineStr">
        <is>
          <t>D</t>
        </is>
      </c>
      <c r="E426" s="8" t="inlineStr">
        <is>
          <t>Não</t>
        </is>
      </c>
      <c r="F426" s="8" t="n">
        <v>33</v>
      </c>
      <c r="G426" s="8" t="n">
        <v>4</v>
      </c>
      <c r="H426" s="9">
        <f>IF(F426=0,"",G426/F426)</f>
        <v/>
      </c>
    </row>
    <row r="427">
      <c r="A427" s="10" t="inlineStr">
        <is>
          <t>Simulado 01</t>
        </is>
      </c>
      <c r="B427" s="11" t="n">
        <v>22</v>
      </c>
      <c r="C427" s="11" t="inlineStr">
        <is>
          <t>7ª Fase</t>
        </is>
      </c>
      <c r="D427" s="11" t="inlineStr">
        <is>
          <t>E</t>
        </is>
      </c>
      <c r="E427" s="11" t="inlineStr">
        <is>
          <t>Não</t>
        </is>
      </c>
      <c r="F427" s="11" t="n">
        <v>33</v>
      </c>
      <c r="G427" s="11" t="n">
        <v>1</v>
      </c>
      <c r="H427" s="12">
        <f>IF(F427=0,"",G427/F427)</f>
        <v/>
      </c>
    </row>
    <row r="428">
      <c r="A428" s="7" t="inlineStr">
        <is>
          <t>Simulado 01</t>
        </is>
      </c>
      <c r="B428" s="8" t="n">
        <v>22</v>
      </c>
      <c r="C428" s="8" t="inlineStr">
        <is>
          <t>10ª Fase</t>
        </is>
      </c>
      <c r="D428" s="8" t="inlineStr">
        <is>
          <t>A</t>
        </is>
      </c>
      <c r="E428" s="8" t="inlineStr">
        <is>
          <t>Não</t>
        </is>
      </c>
      <c r="F428" s="8" t="n">
        <v>31</v>
      </c>
      <c r="G428" s="8" t="n">
        <v>1</v>
      </c>
      <c r="H428" s="9">
        <f>IF(F428=0,"",G428/F428)</f>
        <v/>
      </c>
    </row>
    <row r="429">
      <c r="A429" s="10" t="inlineStr">
        <is>
          <t>Simulado 01</t>
        </is>
      </c>
      <c r="B429" s="11" t="n">
        <v>22</v>
      </c>
      <c r="C429" s="11" t="inlineStr">
        <is>
          <t>10ª Fase</t>
        </is>
      </c>
      <c r="D429" s="11" t="inlineStr">
        <is>
          <t>B</t>
        </is>
      </c>
      <c r="E429" s="11" t="inlineStr">
        <is>
          <t>Sim</t>
        </is>
      </c>
      <c r="F429" s="11" t="n">
        <v>31</v>
      </c>
      <c r="G429" s="11" t="n">
        <v>28</v>
      </c>
      <c r="H429" s="12">
        <f>IF(F429=0,"",G429/F429)</f>
        <v/>
      </c>
    </row>
    <row r="430">
      <c r="A430" s="7" t="inlineStr">
        <is>
          <t>Simulado 01</t>
        </is>
      </c>
      <c r="B430" s="8" t="n">
        <v>22</v>
      </c>
      <c r="C430" s="8" t="inlineStr">
        <is>
          <t>10ª Fase</t>
        </is>
      </c>
      <c r="D430" s="8" t="inlineStr">
        <is>
          <t>C</t>
        </is>
      </c>
      <c r="E430" s="8" t="inlineStr">
        <is>
          <t>Não</t>
        </is>
      </c>
      <c r="F430" s="8" t="n">
        <v>31</v>
      </c>
      <c r="G430" s="8" t="n">
        <v>0</v>
      </c>
      <c r="H430" s="9">
        <f>IF(F430=0,"",G430/F430)</f>
        <v/>
      </c>
    </row>
    <row r="431">
      <c r="A431" s="10" t="inlineStr">
        <is>
          <t>Simulado 01</t>
        </is>
      </c>
      <c r="B431" s="11" t="n">
        <v>22</v>
      </c>
      <c r="C431" s="11" t="inlineStr">
        <is>
          <t>10ª Fase</t>
        </is>
      </c>
      <c r="D431" s="11" t="inlineStr">
        <is>
          <t>D</t>
        </is>
      </c>
      <c r="E431" s="11" t="inlineStr">
        <is>
          <t>Não</t>
        </is>
      </c>
      <c r="F431" s="11" t="n">
        <v>31</v>
      </c>
      <c r="G431" s="11" t="n">
        <v>2</v>
      </c>
      <c r="H431" s="12">
        <f>IF(F431=0,"",G431/F431)</f>
        <v/>
      </c>
    </row>
    <row r="432">
      <c r="A432" s="7" t="inlineStr">
        <is>
          <t>Simulado 01</t>
        </is>
      </c>
      <c r="B432" s="8" t="n">
        <v>22</v>
      </c>
      <c r="C432" s="8" t="inlineStr">
        <is>
          <t>10ª Fase</t>
        </is>
      </c>
      <c r="D432" s="8" t="inlineStr">
        <is>
          <t>E</t>
        </is>
      </c>
      <c r="E432" s="8" t="inlineStr">
        <is>
          <t>Não</t>
        </is>
      </c>
      <c r="F432" s="8" t="n">
        <v>31</v>
      </c>
      <c r="G432" s="8" t="n">
        <v>0</v>
      </c>
      <c r="H432" s="9">
        <f>IF(F432=0,"",G432/F432)</f>
        <v/>
      </c>
    </row>
    <row r="433">
      <c r="A433" s="10" t="inlineStr">
        <is>
          <t>Simulado 01</t>
        </is>
      </c>
      <c r="B433" s="11" t="n">
        <v>22</v>
      </c>
      <c r="C433" s="11" t="inlineStr">
        <is>
          <t>11ª Fase</t>
        </is>
      </c>
      <c r="D433" s="11" t="inlineStr">
        <is>
          <t>A</t>
        </is>
      </c>
      <c r="E433" s="11" t="inlineStr">
        <is>
          <t>Não</t>
        </is>
      </c>
      <c r="F433" s="11" t="n">
        <v>27</v>
      </c>
      <c r="G433" s="11" t="n">
        <v>1</v>
      </c>
      <c r="H433" s="12">
        <f>IF(F433=0,"",G433/F433)</f>
        <v/>
      </c>
    </row>
    <row r="434">
      <c r="A434" s="7" t="inlineStr">
        <is>
          <t>Simulado 01</t>
        </is>
      </c>
      <c r="B434" s="8" t="n">
        <v>22</v>
      </c>
      <c r="C434" s="8" t="inlineStr">
        <is>
          <t>11ª Fase</t>
        </is>
      </c>
      <c r="D434" s="8" t="inlineStr">
        <is>
          <t>B</t>
        </is>
      </c>
      <c r="E434" s="8" t="inlineStr">
        <is>
          <t>Sim</t>
        </is>
      </c>
      <c r="F434" s="8" t="n">
        <v>27</v>
      </c>
      <c r="G434" s="8" t="n">
        <v>23</v>
      </c>
      <c r="H434" s="9">
        <f>IF(F434=0,"",G434/F434)</f>
        <v/>
      </c>
    </row>
    <row r="435">
      <c r="A435" s="10" t="inlineStr">
        <is>
          <t>Simulado 01</t>
        </is>
      </c>
      <c r="B435" s="11" t="n">
        <v>22</v>
      </c>
      <c r="C435" s="11" t="inlineStr">
        <is>
          <t>11ª Fase</t>
        </is>
      </c>
      <c r="D435" s="11" t="inlineStr">
        <is>
          <t>C</t>
        </is>
      </c>
      <c r="E435" s="11" t="inlineStr">
        <is>
          <t>Não</t>
        </is>
      </c>
      <c r="F435" s="11" t="n">
        <v>27</v>
      </c>
      <c r="G435" s="11" t="n">
        <v>0</v>
      </c>
      <c r="H435" s="12">
        <f>IF(F435=0,"",G435/F435)</f>
        <v/>
      </c>
    </row>
    <row r="436">
      <c r="A436" s="7" t="inlineStr">
        <is>
          <t>Simulado 01</t>
        </is>
      </c>
      <c r="B436" s="8" t="n">
        <v>22</v>
      </c>
      <c r="C436" s="8" t="inlineStr">
        <is>
          <t>11ª Fase</t>
        </is>
      </c>
      <c r="D436" s="8" t="inlineStr">
        <is>
          <t>D</t>
        </is>
      </c>
      <c r="E436" s="8" t="inlineStr">
        <is>
          <t>Não</t>
        </is>
      </c>
      <c r="F436" s="8" t="n">
        <v>27</v>
      </c>
      <c r="G436" s="8" t="n">
        <v>3</v>
      </c>
      <c r="H436" s="9">
        <f>IF(F436=0,"",G436/F436)</f>
        <v/>
      </c>
    </row>
    <row r="437">
      <c r="A437" s="10" t="inlineStr">
        <is>
          <t>Simulado 01</t>
        </is>
      </c>
      <c r="B437" s="11" t="n">
        <v>22</v>
      </c>
      <c r="C437" s="11" t="inlineStr">
        <is>
          <t>11ª Fase</t>
        </is>
      </c>
      <c r="D437" s="11" t="inlineStr">
        <is>
          <t>E</t>
        </is>
      </c>
      <c r="E437" s="11" t="inlineStr">
        <is>
          <t>Não</t>
        </is>
      </c>
      <c r="F437" s="11" t="n">
        <v>27</v>
      </c>
      <c r="G437" s="11" t="n">
        <v>0</v>
      </c>
      <c r="H437" s="12">
        <f>IF(F437=0,"",G437/F437)</f>
        <v/>
      </c>
    </row>
    <row r="438">
      <c r="A438" s="7" t="inlineStr">
        <is>
          <t>Simulado 01</t>
        </is>
      </c>
      <c r="B438" s="8" t="n">
        <v>23</v>
      </c>
      <c r="C438" s="8" t="inlineStr">
        <is>
          <t>6ª Fase</t>
        </is>
      </c>
      <c r="D438" s="8" t="inlineStr">
        <is>
          <t>A</t>
        </is>
      </c>
      <c r="E438" s="8" t="inlineStr">
        <is>
          <t>Não</t>
        </is>
      </c>
      <c r="F438" s="8" t="n">
        <v>27</v>
      </c>
      <c r="G438" s="8" t="n">
        <v>0</v>
      </c>
      <c r="H438" s="9">
        <f>IF(F438=0,"",G438/F438)</f>
        <v/>
      </c>
    </row>
    <row r="439">
      <c r="A439" s="10" t="inlineStr">
        <is>
          <t>Simulado 01</t>
        </is>
      </c>
      <c r="B439" s="11" t="n">
        <v>23</v>
      </c>
      <c r="C439" s="11" t="inlineStr">
        <is>
          <t>6ª Fase</t>
        </is>
      </c>
      <c r="D439" s="11" t="inlineStr">
        <is>
          <t>B</t>
        </is>
      </c>
      <c r="E439" s="11" t="inlineStr">
        <is>
          <t>Não</t>
        </is>
      </c>
      <c r="F439" s="11" t="n">
        <v>27</v>
      </c>
      <c r="G439" s="11" t="n">
        <v>0</v>
      </c>
      <c r="H439" s="12">
        <f>IF(F439=0,"",G439/F439)</f>
        <v/>
      </c>
    </row>
    <row r="440">
      <c r="A440" s="7" t="inlineStr">
        <is>
          <t>Simulado 01</t>
        </is>
      </c>
      <c r="B440" s="8" t="n">
        <v>23</v>
      </c>
      <c r="C440" s="8" t="inlineStr">
        <is>
          <t>6ª Fase</t>
        </is>
      </c>
      <c r="D440" s="8" t="inlineStr">
        <is>
          <t>C</t>
        </is>
      </c>
      <c r="E440" s="8" t="inlineStr">
        <is>
          <t>Não</t>
        </is>
      </c>
      <c r="F440" s="8" t="n">
        <v>27</v>
      </c>
      <c r="G440" s="8" t="n">
        <v>2</v>
      </c>
      <c r="H440" s="9">
        <f>IF(F440=0,"",G440/F440)</f>
        <v/>
      </c>
    </row>
    <row r="441">
      <c r="A441" s="10" t="inlineStr">
        <is>
          <t>Simulado 01</t>
        </is>
      </c>
      <c r="B441" s="11" t="n">
        <v>23</v>
      </c>
      <c r="C441" s="11" t="inlineStr">
        <is>
          <t>6ª Fase</t>
        </is>
      </c>
      <c r="D441" s="11" t="inlineStr">
        <is>
          <t>D</t>
        </is>
      </c>
      <c r="E441" s="11" t="inlineStr">
        <is>
          <t>Sim</t>
        </is>
      </c>
      <c r="F441" s="11" t="n">
        <v>27</v>
      </c>
      <c r="G441" s="11" t="n">
        <v>14</v>
      </c>
      <c r="H441" s="12">
        <f>IF(F441=0,"",G441/F441)</f>
        <v/>
      </c>
    </row>
    <row r="442">
      <c r="A442" s="7" t="inlineStr">
        <is>
          <t>Simulado 01</t>
        </is>
      </c>
      <c r="B442" s="8" t="n">
        <v>23</v>
      </c>
      <c r="C442" s="8" t="inlineStr">
        <is>
          <t>6ª Fase</t>
        </is>
      </c>
      <c r="D442" s="8" t="inlineStr">
        <is>
          <t>E</t>
        </is>
      </c>
      <c r="E442" s="8" t="inlineStr">
        <is>
          <t>Não</t>
        </is>
      </c>
      <c r="F442" s="8" t="n">
        <v>27</v>
      </c>
      <c r="G442" s="8" t="n">
        <v>11</v>
      </c>
      <c r="H442" s="9">
        <f>IF(F442=0,"",G442/F442)</f>
        <v/>
      </c>
    </row>
    <row r="443">
      <c r="A443" s="10" t="inlineStr">
        <is>
          <t>Simulado 01</t>
        </is>
      </c>
      <c r="B443" s="11" t="n">
        <v>23</v>
      </c>
      <c r="C443" s="11" t="inlineStr">
        <is>
          <t>7ª Fase</t>
        </is>
      </c>
      <c r="D443" s="11" t="inlineStr">
        <is>
          <t>A</t>
        </is>
      </c>
      <c r="E443" s="11" t="inlineStr">
        <is>
          <t>Não</t>
        </is>
      </c>
      <c r="F443" s="11" t="n">
        <v>33</v>
      </c>
      <c r="G443" s="11" t="n">
        <v>1</v>
      </c>
      <c r="H443" s="12">
        <f>IF(F443=0,"",G443/F443)</f>
        <v/>
      </c>
    </row>
    <row r="444">
      <c r="A444" s="7" t="inlineStr">
        <is>
          <t>Simulado 01</t>
        </is>
      </c>
      <c r="B444" s="8" t="n">
        <v>23</v>
      </c>
      <c r="C444" s="8" t="inlineStr">
        <is>
          <t>7ª Fase</t>
        </is>
      </c>
      <c r="D444" s="8" t="inlineStr">
        <is>
          <t>B</t>
        </is>
      </c>
      <c r="E444" s="8" t="inlineStr">
        <is>
          <t>Não</t>
        </is>
      </c>
      <c r="F444" s="8" t="n">
        <v>33</v>
      </c>
      <c r="G444" s="8" t="n">
        <v>0</v>
      </c>
      <c r="H444" s="9">
        <f>IF(F444=0,"",G444/F444)</f>
        <v/>
      </c>
    </row>
    <row r="445">
      <c r="A445" s="10" t="inlineStr">
        <is>
          <t>Simulado 01</t>
        </is>
      </c>
      <c r="B445" s="11" t="n">
        <v>23</v>
      </c>
      <c r="C445" s="11" t="inlineStr">
        <is>
          <t>7ª Fase</t>
        </is>
      </c>
      <c r="D445" s="11" t="inlineStr">
        <is>
          <t>C</t>
        </is>
      </c>
      <c r="E445" s="11" t="inlineStr">
        <is>
          <t>Não</t>
        </is>
      </c>
      <c r="F445" s="11" t="n">
        <v>33</v>
      </c>
      <c r="G445" s="11" t="n">
        <v>1</v>
      </c>
      <c r="H445" s="12">
        <f>IF(F445=0,"",G445/F445)</f>
        <v/>
      </c>
    </row>
    <row r="446">
      <c r="A446" s="7" t="inlineStr">
        <is>
          <t>Simulado 01</t>
        </is>
      </c>
      <c r="B446" s="8" t="n">
        <v>23</v>
      </c>
      <c r="C446" s="8" t="inlineStr">
        <is>
          <t>7ª Fase</t>
        </is>
      </c>
      <c r="D446" s="8" t="inlineStr">
        <is>
          <t>D</t>
        </is>
      </c>
      <c r="E446" s="8" t="inlineStr">
        <is>
          <t>Sim</t>
        </is>
      </c>
      <c r="F446" s="8" t="n">
        <v>33</v>
      </c>
      <c r="G446" s="8" t="n">
        <v>16</v>
      </c>
      <c r="H446" s="9">
        <f>IF(F446=0,"",G446/F446)</f>
        <v/>
      </c>
    </row>
    <row r="447">
      <c r="A447" s="10" t="inlineStr">
        <is>
          <t>Simulado 01</t>
        </is>
      </c>
      <c r="B447" s="11" t="n">
        <v>23</v>
      </c>
      <c r="C447" s="11" t="inlineStr">
        <is>
          <t>7ª Fase</t>
        </is>
      </c>
      <c r="D447" s="11" t="inlineStr">
        <is>
          <t>E</t>
        </is>
      </c>
      <c r="E447" s="11" t="inlineStr">
        <is>
          <t>Não</t>
        </is>
      </c>
      <c r="F447" s="11" t="n">
        <v>33</v>
      </c>
      <c r="G447" s="11" t="n">
        <v>15</v>
      </c>
      <c r="H447" s="12">
        <f>IF(F447=0,"",G447/F447)</f>
        <v/>
      </c>
    </row>
    <row r="448">
      <c r="A448" s="7" t="inlineStr">
        <is>
          <t>Simulado 01</t>
        </is>
      </c>
      <c r="B448" s="8" t="n">
        <v>23</v>
      </c>
      <c r="C448" s="8" t="inlineStr">
        <is>
          <t>10ª Fase</t>
        </is>
      </c>
      <c r="D448" s="8" t="inlineStr">
        <is>
          <t>A</t>
        </is>
      </c>
      <c r="E448" s="8" t="inlineStr">
        <is>
          <t>Não</t>
        </is>
      </c>
      <c r="F448" s="8" t="n">
        <v>31</v>
      </c>
      <c r="G448" s="8" t="n">
        <v>1</v>
      </c>
      <c r="H448" s="9">
        <f>IF(F448=0,"",G448/F448)</f>
        <v/>
      </c>
    </row>
    <row r="449">
      <c r="A449" s="10" t="inlineStr">
        <is>
          <t>Simulado 01</t>
        </is>
      </c>
      <c r="B449" s="11" t="n">
        <v>23</v>
      </c>
      <c r="C449" s="11" t="inlineStr">
        <is>
          <t>10ª Fase</t>
        </is>
      </c>
      <c r="D449" s="11" t="inlineStr">
        <is>
          <t>B</t>
        </is>
      </c>
      <c r="E449" s="11" t="inlineStr">
        <is>
          <t>Não</t>
        </is>
      </c>
      <c r="F449" s="11" t="n">
        <v>31</v>
      </c>
      <c r="G449" s="11" t="n">
        <v>0</v>
      </c>
      <c r="H449" s="12">
        <f>IF(F449=0,"",G449/F449)</f>
        <v/>
      </c>
    </row>
    <row r="450">
      <c r="A450" s="7" t="inlineStr">
        <is>
          <t>Simulado 01</t>
        </is>
      </c>
      <c r="B450" s="8" t="n">
        <v>23</v>
      </c>
      <c r="C450" s="8" t="inlineStr">
        <is>
          <t>10ª Fase</t>
        </is>
      </c>
      <c r="D450" s="8" t="inlineStr">
        <is>
          <t>C</t>
        </is>
      </c>
      <c r="E450" s="8" t="inlineStr">
        <is>
          <t>Não</t>
        </is>
      </c>
      <c r="F450" s="8" t="n">
        <v>31</v>
      </c>
      <c r="G450" s="8" t="n">
        <v>0</v>
      </c>
      <c r="H450" s="9">
        <f>IF(F450=0,"",G450/F450)</f>
        <v/>
      </c>
    </row>
    <row r="451">
      <c r="A451" s="10" t="inlineStr">
        <is>
          <t>Simulado 01</t>
        </is>
      </c>
      <c r="B451" s="11" t="n">
        <v>23</v>
      </c>
      <c r="C451" s="11" t="inlineStr">
        <is>
          <t>10ª Fase</t>
        </is>
      </c>
      <c r="D451" s="11" t="inlineStr">
        <is>
          <t>D</t>
        </is>
      </c>
      <c r="E451" s="11" t="inlineStr">
        <is>
          <t>Sim</t>
        </is>
      </c>
      <c r="F451" s="11" t="n">
        <v>31</v>
      </c>
      <c r="G451" s="11" t="n">
        <v>29</v>
      </c>
      <c r="H451" s="12">
        <f>IF(F451=0,"",G451/F451)</f>
        <v/>
      </c>
    </row>
    <row r="452">
      <c r="A452" s="7" t="inlineStr">
        <is>
          <t>Simulado 01</t>
        </is>
      </c>
      <c r="B452" s="8" t="n">
        <v>23</v>
      </c>
      <c r="C452" s="8" t="inlineStr">
        <is>
          <t>10ª Fase</t>
        </is>
      </c>
      <c r="D452" s="8" t="inlineStr">
        <is>
          <t>E</t>
        </is>
      </c>
      <c r="E452" s="8" t="inlineStr">
        <is>
          <t>Não</t>
        </is>
      </c>
      <c r="F452" s="8" t="n">
        <v>31</v>
      </c>
      <c r="G452" s="8" t="n">
        <v>1</v>
      </c>
      <c r="H452" s="9">
        <f>IF(F452=0,"",G452/F452)</f>
        <v/>
      </c>
    </row>
    <row r="453">
      <c r="A453" s="10" t="inlineStr">
        <is>
          <t>Simulado 01</t>
        </is>
      </c>
      <c r="B453" s="11" t="n">
        <v>23</v>
      </c>
      <c r="C453" s="11" t="inlineStr">
        <is>
          <t>11ª Fase</t>
        </is>
      </c>
      <c r="D453" s="11" t="inlineStr">
        <is>
          <t>A</t>
        </is>
      </c>
      <c r="E453" s="11" t="inlineStr">
        <is>
          <t>Não</t>
        </is>
      </c>
      <c r="F453" s="11" t="n">
        <v>27</v>
      </c>
      <c r="G453" s="11" t="n">
        <v>0</v>
      </c>
      <c r="H453" s="12">
        <f>IF(F453=0,"",G453/F453)</f>
        <v/>
      </c>
    </row>
    <row r="454">
      <c r="A454" s="7" t="inlineStr">
        <is>
          <t>Simulado 01</t>
        </is>
      </c>
      <c r="B454" s="8" t="n">
        <v>23</v>
      </c>
      <c r="C454" s="8" t="inlineStr">
        <is>
          <t>11ª Fase</t>
        </is>
      </c>
      <c r="D454" s="8" t="inlineStr">
        <is>
          <t>B</t>
        </is>
      </c>
      <c r="E454" s="8" t="inlineStr">
        <is>
          <t>Não</t>
        </is>
      </c>
      <c r="F454" s="8" t="n">
        <v>27</v>
      </c>
      <c r="G454" s="8" t="n">
        <v>0</v>
      </c>
      <c r="H454" s="9">
        <f>IF(F454=0,"",G454/F454)</f>
        <v/>
      </c>
    </row>
    <row r="455">
      <c r="A455" s="10" t="inlineStr">
        <is>
          <t>Simulado 01</t>
        </is>
      </c>
      <c r="B455" s="11" t="n">
        <v>23</v>
      </c>
      <c r="C455" s="11" t="inlineStr">
        <is>
          <t>11ª Fase</t>
        </is>
      </c>
      <c r="D455" s="11" t="inlineStr">
        <is>
          <t>C</t>
        </is>
      </c>
      <c r="E455" s="11" t="inlineStr">
        <is>
          <t>Não</t>
        </is>
      </c>
      <c r="F455" s="11" t="n">
        <v>27</v>
      </c>
      <c r="G455" s="11" t="n">
        <v>0</v>
      </c>
      <c r="H455" s="12">
        <f>IF(F455=0,"",G455/F455)</f>
        <v/>
      </c>
    </row>
    <row r="456">
      <c r="A456" s="7" t="inlineStr">
        <is>
          <t>Simulado 01</t>
        </is>
      </c>
      <c r="B456" s="8" t="n">
        <v>23</v>
      </c>
      <c r="C456" s="8" t="inlineStr">
        <is>
          <t>11ª Fase</t>
        </is>
      </c>
      <c r="D456" s="8" t="inlineStr">
        <is>
          <t>D</t>
        </is>
      </c>
      <c r="E456" s="8" t="inlineStr">
        <is>
          <t>Sim</t>
        </is>
      </c>
      <c r="F456" s="8" t="n">
        <v>27</v>
      </c>
      <c r="G456" s="8" t="n">
        <v>21</v>
      </c>
      <c r="H456" s="9">
        <f>IF(F456=0,"",G456/F456)</f>
        <v/>
      </c>
    </row>
    <row r="457">
      <c r="A457" s="10" t="inlineStr">
        <is>
          <t>Simulado 01</t>
        </is>
      </c>
      <c r="B457" s="11" t="n">
        <v>23</v>
      </c>
      <c r="C457" s="11" t="inlineStr">
        <is>
          <t>11ª Fase</t>
        </is>
      </c>
      <c r="D457" s="11" t="inlineStr">
        <is>
          <t>E</t>
        </is>
      </c>
      <c r="E457" s="11" t="inlineStr">
        <is>
          <t>Não</t>
        </is>
      </c>
      <c r="F457" s="11" t="n">
        <v>27</v>
      </c>
      <c r="G457" s="11" t="n">
        <v>6</v>
      </c>
      <c r="H457" s="12">
        <f>IF(F457=0,"",G457/F457)</f>
        <v/>
      </c>
    </row>
    <row r="458">
      <c r="A458" s="7" t="inlineStr">
        <is>
          <t>Simulado 01</t>
        </is>
      </c>
      <c r="B458" s="8" t="n">
        <v>25</v>
      </c>
      <c r="C458" s="8" t="inlineStr">
        <is>
          <t>6ª Fase</t>
        </is>
      </c>
      <c r="D458" s="8" t="inlineStr">
        <is>
          <t>A</t>
        </is>
      </c>
      <c r="E458" s="8" t="inlineStr">
        <is>
          <t>Não</t>
        </is>
      </c>
      <c r="F458" s="8" t="n">
        <v>27</v>
      </c>
      <c r="G458" s="8" t="n">
        <v>2</v>
      </c>
      <c r="H458" s="9">
        <f>IF(F458=0,"",G458/F458)</f>
        <v/>
      </c>
    </row>
    <row r="459">
      <c r="A459" s="10" t="inlineStr">
        <is>
          <t>Simulado 01</t>
        </is>
      </c>
      <c r="B459" s="11" t="n">
        <v>25</v>
      </c>
      <c r="C459" s="11" t="inlineStr">
        <is>
          <t>6ª Fase</t>
        </is>
      </c>
      <c r="D459" s="11" t="inlineStr">
        <is>
          <t>B</t>
        </is>
      </c>
      <c r="E459" s="11" t="inlineStr">
        <is>
          <t>Não</t>
        </is>
      </c>
      <c r="F459" s="11" t="n">
        <v>27</v>
      </c>
      <c r="G459" s="11" t="n">
        <v>2</v>
      </c>
      <c r="H459" s="12">
        <f>IF(F459=0,"",G459/F459)</f>
        <v/>
      </c>
    </row>
    <row r="460">
      <c r="A460" s="7" t="inlineStr">
        <is>
          <t>Simulado 01</t>
        </is>
      </c>
      <c r="B460" s="8" t="n">
        <v>25</v>
      </c>
      <c r="C460" s="8" t="inlineStr">
        <is>
          <t>6ª Fase</t>
        </is>
      </c>
      <c r="D460" s="8" t="inlineStr">
        <is>
          <t>C</t>
        </is>
      </c>
      <c r="E460" s="8" t="inlineStr">
        <is>
          <t>Não</t>
        </is>
      </c>
      <c r="F460" s="8" t="n">
        <v>27</v>
      </c>
      <c r="G460" s="8" t="n">
        <v>9</v>
      </c>
      <c r="H460" s="9">
        <f>IF(F460=0,"",G460/F460)</f>
        <v/>
      </c>
    </row>
    <row r="461">
      <c r="A461" s="10" t="inlineStr">
        <is>
          <t>Simulado 01</t>
        </is>
      </c>
      <c r="B461" s="11" t="n">
        <v>25</v>
      </c>
      <c r="C461" s="11" t="inlineStr">
        <is>
          <t>6ª Fase</t>
        </is>
      </c>
      <c r="D461" s="11" t="inlineStr">
        <is>
          <t>D</t>
        </is>
      </c>
      <c r="E461" s="11" t="inlineStr">
        <is>
          <t>Não</t>
        </is>
      </c>
      <c r="F461" s="11" t="n">
        <v>27</v>
      </c>
      <c r="G461" s="11" t="n">
        <v>0</v>
      </c>
      <c r="H461" s="12">
        <f>IF(F461=0,"",G461/F461)</f>
        <v/>
      </c>
    </row>
    <row r="462">
      <c r="A462" s="7" t="inlineStr">
        <is>
          <t>Simulado 01</t>
        </is>
      </c>
      <c r="B462" s="8" t="n">
        <v>25</v>
      </c>
      <c r="C462" s="8" t="inlineStr">
        <is>
          <t>6ª Fase</t>
        </is>
      </c>
      <c r="D462" s="8" t="inlineStr">
        <is>
          <t>E</t>
        </is>
      </c>
      <c r="E462" s="8" t="inlineStr">
        <is>
          <t>Sim</t>
        </is>
      </c>
      <c r="F462" s="8" t="n">
        <v>27</v>
      </c>
      <c r="G462" s="8" t="n">
        <v>14</v>
      </c>
      <c r="H462" s="9">
        <f>IF(F462=0,"",G462/F462)</f>
        <v/>
      </c>
    </row>
    <row r="463">
      <c r="A463" s="10" t="inlineStr">
        <is>
          <t>Simulado 01</t>
        </is>
      </c>
      <c r="B463" s="11" t="n">
        <v>25</v>
      </c>
      <c r="C463" s="11" t="inlineStr">
        <is>
          <t>7ª Fase</t>
        </is>
      </c>
      <c r="D463" s="11" t="inlineStr">
        <is>
          <t>A</t>
        </is>
      </c>
      <c r="E463" s="11" t="inlineStr">
        <is>
          <t>Não</t>
        </is>
      </c>
      <c r="F463" s="11" t="n">
        <v>33</v>
      </c>
      <c r="G463" s="11" t="n">
        <v>6</v>
      </c>
      <c r="H463" s="12">
        <f>IF(F463=0,"",G463/F463)</f>
        <v/>
      </c>
    </row>
    <row r="464">
      <c r="A464" s="7" t="inlineStr">
        <is>
          <t>Simulado 01</t>
        </is>
      </c>
      <c r="B464" s="8" t="n">
        <v>25</v>
      </c>
      <c r="C464" s="8" t="inlineStr">
        <is>
          <t>7ª Fase</t>
        </is>
      </c>
      <c r="D464" s="8" t="inlineStr">
        <is>
          <t>B</t>
        </is>
      </c>
      <c r="E464" s="8" t="inlineStr">
        <is>
          <t>Não</t>
        </is>
      </c>
      <c r="F464" s="8" t="n">
        <v>33</v>
      </c>
      <c r="G464" s="8" t="n">
        <v>5</v>
      </c>
      <c r="H464" s="9">
        <f>IF(F464=0,"",G464/F464)</f>
        <v/>
      </c>
    </row>
    <row r="465">
      <c r="A465" s="10" t="inlineStr">
        <is>
          <t>Simulado 01</t>
        </is>
      </c>
      <c r="B465" s="11" t="n">
        <v>25</v>
      </c>
      <c r="C465" s="11" t="inlineStr">
        <is>
          <t>7ª Fase</t>
        </is>
      </c>
      <c r="D465" s="11" t="inlineStr">
        <is>
          <t>C</t>
        </is>
      </c>
      <c r="E465" s="11" t="inlineStr">
        <is>
          <t>Não</t>
        </is>
      </c>
      <c r="F465" s="11" t="n">
        <v>33</v>
      </c>
      <c r="G465" s="11" t="n">
        <v>2</v>
      </c>
      <c r="H465" s="12">
        <f>IF(F465=0,"",G465/F465)</f>
        <v/>
      </c>
    </row>
    <row r="466">
      <c r="A466" s="7" t="inlineStr">
        <is>
          <t>Simulado 01</t>
        </is>
      </c>
      <c r="B466" s="8" t="n">
        <v>25</v>
      </c>
      <c r="C466" s="8" t="inlineStr">
        <is>
          <t>7ª Fase</t>
        </is>
      </c>
      <c r="D466" s="8" t="inlineStr">
        <is>
          <t>D</t>
        </is>
      </c>
      <c r="E466" s="8" t="inlineStr">
        <is>
          <t>Não</t>
        </is>
      </c>
      <c r="F466" s="8" t="n">
        <v>33</v>
      </c>
      <c r="G466" s="8" t="n">
        <v>1</v>
      </c>
      <c r="H466" s="9">
        <f>IF(F466=0,"",G466/F466)</f>
        <v/>
      </c>
    </row>
    <row r="467">
      <c r="A467" s="10" t="inlineStr">
        <is>
          <t>Simulado 01</t>
        </is>
      </c>
      <c r="B467" s="11" t="n">
        <v>25</v>
      </c>
      <c r="C467" s="11" t="inlineStr">
        <is>
          <t>7ª Fase</t>
        </is>
      </c>
      <c r="D467" s="11" t="inlineStr">
        <is>
          <t>E</t>
        </is>
      </c>
      <c r="E467" s="11" t="inlineStr">
        <is>
          <t>Sim</t>
        </is>
      </c>
      <c r="F467" s="11" t="n">
        <v>33</v>
      </c>
      <c r="G467" s="11" t="n">
        <v>19</v>
      </c>
      <c r="H467" s="12">
        <f>IF(F467=0,"",G467/F467)</f>
        <v/>
      </c>
    </row>
    <row r="468">
      <c r="A468" s="7" t="inlineStr">
        <is>
          <t>Simulado 01</t>
        </is>
      </c>
      <c r="B468" s="8" t="n">
        <v>25</v>
      </c>
      <c r="C468" s="8" t="inlineStr">
        <is>
          <t>10ª Fase</t>
        </is>
      </c>
      <c r="D468" s="8" t="inlineStr">
        <is>
          <t>A</t>
        </is>
      </c>
      <c r="E468" s="8" t="inlineStr">
        <is>
          <t>Não</t>
        </is>
      </c>
      <c r="F468" s="8" t="n">
        <v>31</v>
      </c>
      <c r="G468" s="8" t="n">
        <v>11</v>
      </c>
      <c r="H468" s="9">
        <f>IF(F468=0,"",G468/F468)</f>
        <v/>
      </c>
    </row>
    <row r="469">
      <c r="A469" s="10" t="inlineStr">
        <is>
          <t>Simulado 01</t>
        </is>
      </c>
      <c r="B469" s="11" t="n">
        <v>25</v>
      </c>
      <c r="C469" s="11" t="inlineStr">
        <is>
          <t>10ª Fase</t>
        </is>
      </c>
      <c r="D469" s="11" t="inlineStr">
        <is>
          <t>B</t>
        </is>
      </c>
      <c r="E469" s="11" t="inlineStr">
        <is>
          <t>Não</t>
        </is>
      </c>
      <c r="F469" s="11" t="n">
        <v>31</v>
      </c>
      <c r="G469" s="11" t="n">
        <v>1</v>
      </c>
      <c r="H469" s="12">
        <f>IF(F469=0,"",G469/F469)</f>
        <v/>
      </c>
    </row>
    <row r="470">
      <c r="A470" s="7" t="inlineStr">
        <is>
          <t>Simulado 01</t>
        </is>
      </c>
      <c r="B470" s="8" t="n">
        <v>25</v>
      </c>
      <c r="C470" s="8" t="inlineStr">
        <is>
          <t>10ª Fase</t>
        </is>
      </c>
      <c r="D470" s="8" t="inlineStr">
        <is>
          <t>C</t>
        </is>
      </c>
      <c r="E470" s="8" t="inlineStr">
        <is>
          <t>Não</t>
        </is>
      </c>
      <c r="F470" s="8" t="n">
        <v>31</v>
      </c>
      <c r="G470" s="8" t="n">
        <v>0</v>
      </c>
      <c r="H470" s="9">
        <f>IF(F470=0,"",G470/F470)</f>
        <v/>
      </c>
    </row>
    <row r="471">
      <c r="A471" s="10" t="inlineStr">
        <is>
          <t>Simulado 01</t>
        </is>
      </c>
      <c r="B471" s="11" t="n">
        <v>25</v>
      </c>
      <c r="C471" s="11" t="inlineStr">
        <is>
          <t>10ª Fase</t>
        </is>
      </c>
      <c r="D471" s="11" t="inlineStr">
        <is>
          <t>D</t>
        </is>
      </c>
      <c r="E471" s="11" t="inlineStr">
        <is>
          <t>Não</t>
        </is>
      </c>
      <c r="F471" s="11" t="n">
        <v>31</v>
      </c>
      <c r="G471" s="11" t="n">
        <v>0</v>
      </c>
      <c r="H471" s="12">
        <f>IF(F471=0,"",G471/F471)</f>
        <v/>
      </c>
    </row>
    <row r="472">
      <c r="A472" s="7" t="inlineStr">
        <is>
          <t>Simulado 01</t>
        </is>
      </c>
      <c r="B472" s="8" t="n">
        <v>25</v>
      </c>
      <c r="C472" s="8" t="inlineStr">
        <is>
          <t>10ª Fase</t>
        </is>
      </c>
      <c r="D472" s="8" t="inlineStr">
        <is>
          <t>E</t>
        </is>
      </c>
      <c r="E472" s="8" t="inlineStr">
        <is>
          <t>Sim</t>
        </is>
      </c>
      <c r="F472" s="8" t="n">
        <v>31</v>
      </c>
      <c r="G472" s="8" t="n">
        <v>19</v>
      </c>
      <c r="H472" s="9">
        <f>IF(F472=0,"",G472/F472)</f>
        <v/>
      </c>
    </row>
    <row r="473">
      <c r="A473" s="10" t="inlineStr">
        <is>
          <t>Simulado 01</t>
        </is>
      </c>
      <c r="B473" s="11" t="n">
        <v>25</v>
      </c>
      <c r="C473" s="11" t="inlineStr">
        <is>
          <t>11ª Fase</t>
        </is>
      </c>
      <c r="D473" s="11" t="inlineStr">
        <is>
          <t>A</t>
        </is>
      </c>
      <c r="E473" s="11" t="inlineStr">
        <is>
          <t>Não</t>
        </is>
      </c>
      <c r="F473" s="11" t="n">
        <v>27</v>
      </c>
      <c r="G473" s="11" t="n">
        <v>7</v>
      </c>
      <c r="H473" s="12">
        <f>IF(F473=0,"",G473/F473)</f>
        <v/>
      </c>
    </row>
    <row r="474">
      <c r="A474" s="7" t="inlineStr">
        <is>
          <t>Simulado 01</t>
        </is>
      </c>
      <c r="B474" s="8" t="n">
        <v>25</v>
      </c>
      <c r="C474" s="8" t="inlineStr">
        <is>
          <t>11ª Fase</t>
        </is>
      </c>
      <c r="D474" s="8" t="inlineStr">
        <is>
          <t>B</t>
        </is>
      </c>
      <c r="E474" s="8" t="inlineStr">
        <is>
          <t>Não</t>
        </is>
      </c>
      <c r="F474" s="8" t="n">
        <v>27</v>
      </c>
      <c r="G474" s="8" t="n">
        <v>0</v>
      </c>
      <c r="H474" s="9">
        <f>IF(F474=0,"",G474/F474)</f>
        <v/>
      </c>
    </row>
    <row r="475">
      <c r="A475" s="10" t="inlineStr">
        <is>
          <t>Simulado 01</t>
        </is>
      </c>
      <c r="B475" s="11" t="n">
        <v>25</v>
      </c>
      <c r="C475" s="11" t="inlineStr">
        <is>
          <t>11ª Fase</t>
        </is>
      </c>
      <c r="D475" s="11" t="inlineStr">
        <is>
          <t>C</t>
        </is>
      </c>
      <c r="E475" s="11" t="inlineStr">
        <is>
          <t>Não</t>
        </is>
      </c>
      <c r="F475" s="11" t="n">
        <v>27</v>
      </c>
      <c r="G475" s="11" t="n">
        <v>4</v>
      </c>
      <c r="H475" s="12">
        <f>IF(F475=0,"",G475/F475)</f>
        <v/>
      </c>
    </row>
    <row r="476">
      <c r="A476" s="7" t="inlineStr">
        <is>
          <t>Simulado 01</t>
        </is>
      </c>
      <c r="B476" s="8" t="n">
        <v>25</v>
      </c>
      <c r="C476" s="8" t="inlineStr">
        <is>
          <t>11ª Fase</t>
        </is>
      </c>
      <c r="D476" s="8" t="inlineStr">
        <is>
          <t>D</t>
        </is>
      </c>
      <c r="E476" s="8" t="inlineStr">
        <is>
          <t>Não</t>
        </is>
      </c>
      <c r="F476" s="8" t="n">
        <v>27</v>
      </c>
      <c r="G476" s="8" t="n">
        <v>0</v>
      </c>
      <c r="H476" s="9">
        <f>IF(F476=0,"",G476/F476)</f>
        <v/>
      </c>
    </row>
    <row r="477">
      <c r="A477" s="10" t="inlineStr">
        <is>
          <t>Simulado 01</t>
        </is>
      </c>
      <c r="B477" s="11" t="n">
        <v>25</v>
      </c>
      <c r="C477" s="11" t="inlineStr">
        <is>
          <t>11ª Fase</t>
        </is>
      </c>
      <c r="D477" s="11" t="inlineStr">
        <is>
          <t>E</t>
        </is>
      </c>
      <c r="E477" s="11" t="inlineStr">
        <is>
          <t>Sim</t>
        </is>
      </c>
      <c r="F477" s="11" t="n">
        <v>27</v>
      </c>
      <c r="G477" s="11" t="n">
        <v>16</v>
      </c>
      <c r="H477" s="12">
        <f>IF(F477=0,"",G477/F477)</f>
        <v/>
      </c>
    </row>
    <row r="478">
      <c r="A478" s="7" t="inlineStr">
        <is>
          <t>Simulado 01</t>
        </is>
      </c>
      <c r="B478" s="8" t="n">
        <v>26</v>
      </c>
      <c r="C478" s="8" t="inlineStr">
        <is>
          <t>6ª Fase</t>
        </is>
      </c>
      <c r="D478" s="8" t="inlineStr">
        <is>
          <t>A</t>
        </is>
      </c>
      <c r="E478" s="8" t="inlineStr">
        <is>
          <t>Não</t>
        </is>
      </c>
      <c r="F478" s="8" t="n">
        <v>27</v>
      </c>
      <c r="G478" s="8" t="n">
        <v>0</v>
      </c>
      <c r="H478" s="9">
        <f>IF(F478=0,"",G478/F478)</f>
        <v/>
      </c>
    </row>
    <row r="479">
      <c r="A479" s="10" t="inlineStr">
        <is>
          <t>Simulado 01</t>
        </is>
      </c>
      <c r="B479" s="11" t="n">
        <v>26</v>
      </c>
      <c r="C479" s="11" t="inlineStr">
        <is>
          <t>6ª Fase</t>
        </is>
      </c>
      <c r="D479" s="11" t="inlineStr">
        <is>
          <t>B</t>
        </is>
      </c>
      <c r="E479" s="11" t="inlineStr">
        <is>
          <t>Não</t>
        </is>
      </c>
      <c r="F479" s="11" t="n">
        <v>27</v>
      </c>
      <c r="G479" s="11" t="n">
        <v>0</v>
      </c>
      <c r="H479" s="12">
        <f>IF(F479=0,"",G479/F479)</f>
        <v/>
      </c>
    </row>
    <row r="480">
      <c r="A480" s="7" t="inlineStr">
        <is>
          <t>Simulado 01</t>
        </is>
      </c>
      <c r="B480" s="8" t="n">
        <v>26</v>
      </c>
      <c r="C480" s="8" t="inlineStr">
        <is>
          <t>6ª Fase</t>
        </is>
      </c>
      <c r="D480" s="8" t="inlineStr">
        <is>
          <t>C</t>
        </is>
      </c>
      <c r="E480" s="8" t="inlineStr">
        <is>
          <t>Não</t>
        </is>
      </c>
      <c r="F480" s="8" t="n">
        <v>27</v>
      </c>
      <c r="G480" s="8" t="n">
        <v>5</v>
      </c>
      <c r="H480" s="9">
        <f>IF(F480=0,"",G480/F480)</f>
        <v/>
      </c>
    </row>
    <row r="481">
      <c r="A481" s="10" t="inlineStr">
        <is>
          <t>Simulado 01</t>
        </is>
      </c>
      <c r="B481" s="11" t="n">
        <v>26</v>
      </c>
      <c r="C481" s="11" t="inlineStr">
        <is>
          <t>6ª Fase</t>
        </is>
      </c>
      <c r="D481" s="11" t="inlineStr">
        <is>
          <t>D</t>
        </is>
      </c>
      <c r="E481" s="11" t="inlineStr">
        <is>
          <t>Sim</t>
        </is>
      </c>
      <c r="F481" s="11" t="n">
        <v>27</v>
      </c>
      <c r="G481" s="11" t="n">
        <v>19</v>
      </c>
      <c r="H481" s="12">
        <f>IF(F481=0,"",G481/F481)</f>
        <v/>
      </c>
    </row>
    <row r="482">
      <c r="A482" s="7" t="inlineStr">
        <is>
          <t>Simulado 01</t>
        </is>
      </c>
      <c r="B482" s="8" t="n">
        <v>26</v>
      </c>
      <c r="C482" s="8" t="inlineStr">
        <is>
          <t>6ª Fase</t>
        </is>
      </c>
      <c r="D482" s="8" t="inlineStr">
        <is>
          <t>E</t>
        </is>
      </c>
      <c r="E482" s="8" t="inlineStr">
        <is>
          <t>Não</t>
        </is>
      </c>
      <c r="F482" s="8" t="n">
        <v>27</v>
      </c>
      <c r="G482" s="8" t="n">
        <v>3</v>
      </c>
      <c r="H482" s="9">
        <f>IF(F482=0,"",G482/F482)</f>
        <v/>
      </c>
    </row>
    <row r="483">
      <c r="A483" s="10" t="inlineStr">
        <is>
          <t>Simulado 01</t>
        </is>
      </c>
      <c r="B483" s="11" t="n">
        <v>26</v>
      </c>
      <c r="C483" s="11" t="inlineStr">
        <is>
          <t>7ª Fase</t>
        </is>
      </c>
      <c r="D483" s="11" t="inlineStr">
        <is>
          <t>A</t>
        </is>
      </c>
      <c r="E483" s="11" t="inlineStr">
        <is>
          <t>Não</t>
        </is>
      </c>
      <c r="F483" s="11" t="n">
        <v>33</v>
      </c>
      <c r="G483" s="11" t="n">
        <v>0</v>
      </c>
      <c r="H483" s="12">
        <f>IF(F483=0,"",G483/F483)</f>
        <v/>
      </c>
    </row>
    <row r="484">
      <c r="A484" s="7" t="inlineStr">
        <is>
          <t>Simulado 01</t>
        </is>
      </c>
      <c r="B484" s="8" t="n">
        <v>26</v>
      </c>
      <c r="C484" s="8" t="inlineStr">
        <is>
          <t>7ª Fase</t>
        </is>
      </c>
      <c r="D484" s="8" t="inlineStr">
        <is>
          <t>B</t>
        </is>
      </c>
      <c r="E484" s="8" t="inlineStr">
        <is>
          <t>Não</t>
        </is>
      </c>
      <c r="F484" s="8" t="n">
        <v>33</v>
      </c>
      <c r="G484" s="8" t="n">
        <v>0</v>
      </c>
      <c r="H484" s="9">
        <f>IF(F484=0,"",G484/F484)</f>
        <v/>
      </c>
    </row>
    <row r="485">
      <c r="A485" s="10" t="inlineStr">
        <is>
          <t>Simulado 01</t>
        </is>
      </c>
      <c r="B485" s="11" t="n">
        <v>26</v>
      </c>
      <c r="C485" s="11" t="inlineStr">
        <is>
          <t>7ª Fase</t>
        </is>
      </c>
      <c r="D485" s="11" t="inlineStr">
        <is>
          <t>C</t>
        </is>
      </c>
      <c r="E485" s="11" t="inlineStr">
        <is>
          <t>Não</t>
        </is>
      </c>
      <c r="F485" s="11" t="n">
        <v>33</v>
      </c>
      <c r="G485" s="11" t="n">
        <v>7</v>
      </c>
      <c r="H485" s="12">
        <f>IF(F485=0,"",G485/F485)</f>
        <v/>
      </c>
    </row>
    <row r="486">
      <c r="A486" s="7" t="inlineStr">
        <is>
          <t>Simulado 01</t>
        </is>
      </c>
      <c r="B486" s="8" t="n">
        <v>26</v>
      </c>
      <c r="C486" s="8" t="inlineStr">
        <is>
          <t>7ª Fase</t>
        </is>
      </c>
      <c r="D486" s="8" t="inlineStr">
        <is>
          <t>D</t>
        </is>
      </c>
      <c r="E486" s="8" t="inlineStr">
        <is>
          <t>Sim</t>
        </is>
      </c>
      <c r="F486" s="8" t="n">
        <v>33</v>
      </c>
      <c r="G486" s="8" t="n">
        <v>25</v>
      </c>
      <c r="H486" s="9">
        <f>IF(F486=0,"",G486/F486)</f>
        <v/>
      </c>
    </row>
    <row r="487">
      <c r="A487" s="10" t="inlineStr">
        <is>
          <t>Simulado 01</t>
        </is>
      </c>
      <c r="B487" s="11" t="n">
        <v>26</v>
      </c>
      <c r="C487" s="11" t="inlineStr">
        <is>
          <t>7ª Fase</t>
        </is>
      </c>
      <c r="D487" s="11" t="inlineStr">
        <is>
          <t>E</t>
        </is>
      </c>
      <c r="E487" s="11" t="inlineStr">
        <is>
          <t>Não</t>
        </is>
      </c>
      <c r="F487" s="11" t="n">
        <v>33</v>
      </c>
      <c r="G487" s="11" t="n">
        <v>1</v>
      </c>
      <c r="H487" s="12">
        <f>IF(F487=0,"",G487/F487)</f>
        <v/>
      </c>
    </row>
    <row r="488">
      <c r="A488" s="7" t="inlineStr">
        <is>
          <t>Simulado 01</t>
        </is>
      </c>
      <c r="B488" s="8" t="n">
        <v>26</v>
      </c>
      <c r="C488" s="8" t="inlineStr">
        <is>
          <t>10ª Fase</t>
        </is>
      </c>
      <c r="D488" s="8" t="inlineStr">
        <is>
          <t>A</t>
        </is>
      </c>
      <c r="E488" s="8" t="inlineStr">
        <is>
          <t>Não</t>
        </is>
      </c>
      <c r="F488" s="8" t="n">
        <v>31</v>
      </c>
      <c r="G488" s="8" t="n">
        <v>0</v>
      </c>
      <c r="H488" s="9">
        <f>IF(F488=0,"",G488/F488)</f>
        <v/>
      </c>
    </row>
    <row r="489">
      <c r="A489" s="10" t="inlineStr">
        <is>
          <t>Simulado 01</t>
        </is>
      </c>
      <c r="B489" s="11" t="n">
        <v>26</v>
      </c>
      <c r="C489" s="11" t="inlineStr">
        <is>
          <t>10ª Fase</t>
        </is>
      </c>
      <c r="D489" s="11" t="inlineStr">
        <is>
          <t>B</t>
        </is>
      </c>
      <c r="E489" s="11" t="inlineStr">
        <is>
          <t>Não</t>
        </is>
      </c>
      <c r="F489" s="11" t="n">
        <v>31</v>
      </c>
      <c r="G489" s="11" t="n">
        <v>0</v>
      </c>
      <c r="H489" s="12">
        <f>IF(F489=0,"",G489/F489)</f>
        <v/>
      </c>
    </row>
    <row r="490">
      <c r="A490" s="7" t="inlineStr">
        <is>
          <t>Simulado 01</t>
        </is>
      </c>
      <c r="B490" s="8" t="n">
        <v>26</v>
      </c>
      <c r="C490" s="8" t="inlineStr">
        <is>
          <t>10ª Fase</t>
        </is>
      </c>
      <c r="D490" s="8" t="inlineStr">
        <is>
          <t>C</t>
        </is>
      </c>
      <c r="E490" s="8" t="inlineStr">
        <is>
          <t>Não</t>
        </is>
      </c>
      <c r="F490" s="8" t="n">
        <v>31</v>
      </c>
      <c r="G490" s="8" t="n">
        <v>5</v>
      </c>
      <c r="H490" s="9">
        <f>IF(F490=0,"",G490/F490)</f>
        <v/>
      </c>
    </row>
    <row r="491">
      <c r="A491" s="10" t="inlineStr">
        <is>
          <t>Simulado 01</t>
        </is>
      </c>
      <c r="B491" s="11" t="n">
        <v>26</v>
      </c>
      <c r="C491" s="11" t="inlineStr">
        <is>
          <t>10ª Fase</t>
        </is>
      </c>
      <c r="D491" s="11" t="inlineStr">
        <is>
          <t>D</t>
        </is>
      </c>
      <c r="E491" s="11" t="inlineStr">
        <is>
          <t>Sim</t>
        </is>
      </c>
      <c r="F491" s="11" t="n">
        <v>31</v>
      </c>
      <c r="G491" s="11" t="n">
        <v>24</v>
      </c>
      <c r="H491" s="12">
        <f>IF(F491=0,"",G491/F491)</f>
        <v/>
      </c>
    </row>
    <row r="492">
      <c r="A492" s="7" t="inlineStr">
        <is>
          <t>Simulado 01</t>
        </is>
      </c>
      <c r="B492" s="8" t="n">
        <v>26</v>
      </c>
      <c r="C492" s="8" t="inlineStr">
        <is>
          <t>10ª Fase</t>
        </is>
      </c>
      <c r="D492" s="8" t="inlineStr">
        <is>
          <t>E</t>
        </is>
      </c>
      <c r="E492" s="8" t="inlineStr">
        <is>
          <t>Não</t>
        </is>
      </c>
      <c r="F492" s="8" t="n">
        <v>31</v>
      </c>
      <c r="G492" s="8" t="n">
        <v>2</v>
      </c>
      <c r="H492" s="9">
        <f>IF(F492=0,"",G492/F492)</f>
        <v/>
      </c>
    </row>
    <row r="493">
      <c r="A493" s="10" t="inlineStr">
        <is>
          <t>Simulado 01</t>
        </is>
      </c>
      <c r="B493" s="11" t="n">
        <v>26</v>
      </c>
      <c r="C493" s="11" t="inlineStr">
        <is>
          <t>11ª Fase</t>
        </is>
      </c>
      <c r="D493" s="11" t="inlineStr">
        <is>
          <t>A</t>
        </is>
      </c>
      <c r="E493" s="11" t="inlineStr">
        <is>
          <t>Não</t>
        </is>
      </c>
      <c r="F493" s="11" t="n">
        <v>27</v>
      </c>
      <c r="G493" s="11" t="n">
        <v>1</v>
      </c>
      <c r="H493" s="12">
        <f>IF(F493=0,"",G493/F493)</f>
        <v/>
      </c>
    </row>
    <row r="494">
      <c r="A494" s="7" t="inlineStr">
        <is>
          <t>Simulado 01</t>
        </is>
      </c>
      <c r="B494" s="8" t="n">
        <v>26</v>
      </c>
      <c r="C494" s="8" t="inlineStr">
        <is>
          <t>11ª Fase</t>
        </is>
      </c>
      <c r="D494" s="8" t="inlineStr">
        <is>
          <t>B</t>
        </is>
      </c>
      <c r="E494" s="8" t="inlineStr">
        <is>
          <t>Não</t>
        </is>
      </c>
      <c r="F494" s="8" t="n">
        <v>27</v>
      </c>
      <c r="G494" s="8" t="n">
        <v>0</v>
      </c>
      <c r="H494" s="9">
        <f>IF(F494=0,"",G494/F494)</f>
        <v/>
      </c>
    </row>
    <row r="495">
      <c r="A495" s="10" t="inlineStr">
        <is>
          <t>Simulado 01</t>
        </is>
      </c>
      <c r="B495" s="11" t="n">
        <v>26</v>
      </c>
      <c r="C495" s="11" t="inlineStr">
        <is>
          <t>11ª Fase</t>
        </is>
      </c>
      <c r="D495" s="11" t="inlineStr">
        <is>
          <t>C</t>
        </is>
      </c>
      <c r="E495" s="11" t="inlineStr">
        <is>
          <t>Não</t>
        </is>
      </c>
      <c r="F495" s="11" t="n">
        <v>27</v>
      </c>
      <c r="G495" s="11" t="n">
        <v>3</v>
      </c>
      <c r="H495" s="12">
        <f>IF(F495=0,"",G495/F495)</f>
        <v/>
      </c>
    </row>
    <row r="496">
      <c r="A496" s="7" t="inlineStr">
        <is>
          <t>Simulado 01</t>
        </is>
      </c>
      <c r="B496" s="8" t="n">
        <v>26</v>
      </c>
      <c r="C496" s="8" t="inlineStr">
        <is>
          <t>11ª Fase</t>
        </is>
      </c>
      <c r="D496" s="8" t="inlineStr">
        <is>
          <t>D</t>
        </is>
      </c>
      <c r="E496" s="8" t="inlineStr">
        <is>
          <t>Sim</t>
        </is>
      </c>
      <c r="F496" s="8" t="n">
        <v>27</v>
      </c>
      <c r="G496" s="8" t="n">
        <v>23</v>
      </c>
      <c r="H496" s="9">
        <f>IF(F496=0,"",G496/F496)</f>
        <v/>
      </c>
    </row>
    <row r="497">
      <c r="A497" s="10" t="inlineStr">
        <is>
          <t>Simulado 01</t>
        </is>
      </c>
      <c r="B497" s="11" t="n">
        <v>26</v>
      </c>
      <c r="C497" s="11" t="inlineStr">
        <is>
          <t>11ª Fase</t>
        </is>
      </c>
      <c r="D497" s="11" t="inlineStr">
        <is>
          <t>E</t>
        </is>
      </c>
      <c r="E497" s="11" t="inlineStr">
        <is>
          <t>Não</t>
        </is>
      </c>
      <c r="F497" s="11" t="n">
        <v>27</v>
      </c>
      <c r="G497" s="11" t="n">
        <v>0</v>
      </c>
      <c r="H497" s="12">
        <f>IF(F497=0,"",G497/F497)</f>
        <v/>
      </c>
    </row>
    <row r="498">
      <c r="A498" s="7" t="inlineStr">
        <is>
          <t>Simulado 01</t>
        </is>
      </c>
      <c r="B498" s="8" t="n">
        <v>27</v>
      </c>
      <c r="C498" s="8" t="inlineStr">
        <is>
          <t>6ª Fase</t>
        </is>
      </c>
      <c r="D498" s="8" t="inlineStr">
        <is>
          <t>A</t>
        </is>
      </c>
      <c r="E498" s="8" t="inlineStr">
        <is>
          <t>Não</t>
        </is>
      </c>
      <c r="F498" s="8" t="n">
        <v>27</v>
      </c>
      <c r="G498" s="8" t="n">
        <v>1</v>
      </c>
      <c r="H498" s="9">
        <f>IF(F498=0,"",G498/F498)</f>
        <v/>
      </c>
    </row>
    <row r="499">
      <c r="A499" s="10" t="inlineStr">
        <is>
          <t>Simulado 01</t>
        </is>
      </c>
      <c r="B499" s="11" t="n">
        <v>27</v>
      </c>
      <c r="C499" s="11" t="inlineStr">
        <is>
          <t>6ª Fase</t>
        </is>
      </c>
      <c r="D499" s="11" t="inlineStr">
        <is>
          <t>B</t>
        </is>
      </c>
      <c r="E499" s="11" t="inlineStr">
        <is>
          <t>Não</t>
        </is>
      </c>
      <c r="F499" s="11" t="n">
        <v>27</v>
      </c>
      <c r="G499" s="11" t="n">
        <v>1</v>
      </c>
      <c r="H499" s="12">
        <f>IF(F499=0,"",G499/F499)</f>
        <v/>
      </c>
    </row>
    <row r="500">
      <c r="A500" s="7" t="inlineStr">
        <is>
          <t>Simulado 01</t>
        </is>
      </c>
      <c r="B500" s="8" t="n">
        <v>27</v>
      </c>
      <c r="C500" s="8" t="inlineStr">
        <is>
          <t>6ª Fase</t>
        </is>
      </c>
      <c r="D500" s="8" t="inlineStr">
        <is>
          <t>C</t>
        </is>
      </c>
      <c r="E500" s="8" t="inlineStr">
        <is>
          <t>Não</t>
        </is>
      </c>
      <c r="F500" s="8" t="n">
        <v>27</v>
      </c>
      <c r="G500" s="8" t="n">
        <v>2</v>
      </c>
      <c r="H500" s="9">
        <f>IF(F500=0,"",G500/F500)</f>
        <v/>
      </c>
    </row>
    <row r="501">
      <c r="A501" s="10" t="inlineStr">
        <is>
          <t>Simulado 01</t>
        </is>
      </c>
      <c r="B501" s="11" t="n">
        <v>27</v>
      </c>
      <c r="C501" s="11" t="inlineStr">
        <is>
          <t>6ª Fase</t>
        </is>
      </c>
      <c r="D501" s="11" t="inlineStr">
        <is>
          <t>D</t>
        </is>
      </c>
      <c r="E501" s="11" t="inlineStr">
        <is>
          <t>Não</t>
        </is>
      </c>
      <c r="F501" s="11" t="n">
        <v>27</v>
      </c>
      <c r="G501" s="11" t="n">
        <v>14</v>
      </c>
      <c r="H501" s="12">
        <f>IF(F501=0,"",G501/F501)</f>
        <v/>
      </c>
    </row>
    <row r="502">
      <c r="A502" s="7" t="inlineStr">
        <is>
          <t>Simulado 01</t>
        </is>
      </c>
      <c r="B502" s="8" t="n">
        <v>27</v>
      </c>
      <c r="C502" s="8" t="inlineStr">
        <is>
          <t>6ª Fase</t>
        </is>
      </c>
      <c r="D502" s="8" t="inlineStr">
        <is>
          <t>E</t>
        </is>
      </c>
      <c r="E502" s="8" t="inlineStr">
        <is>
          <t>Sim</t>
        </is>
      </c>
      <c r="F502" s="8" t="n">
        <v>27</v>
      </c>
      <c r="G502" s="8" t="n">
        <v>9</v>
      </c>
      <c r="H502" s="9">
        <f>IF(F502=0,"",G502/F502)</f>
        <v/>
      </c>
    </row>
    <row r="503">
      <c r="A503" s="10" t="inlineStr">
        <is>
          <t>Simulado 01</t>
        </is>
      </c>
      <c r="B503" s="11" t="n">
        <v>27</v>
      </c>
      <c r="C503" s="11" t="inlineStr">
        <is>
          <t>7ª Fase</t>
        </is>
      </c>
      <c r="D503" s="11" t="inlineStr">
        <is>
          <t>A</t>
        </is>
      </c>
      <c r="E503" s="11" t="inlineStr">
        <is>
          <t>Não</t>
        </is>
      </c>
      <c r="F503" s="11" t="n">
        <v>33</v>
      </c>
      <c r="G503" s="11" t="n">
        <v>0</v>
      </c>
      <c r="H503" s="12">
        <f>IF(F503=0,"",G503/F503)</f>
        <v/>
      </c>
    </row>
    <row r="504">
      <c r="A504" s="7" t="inlineStr">
        <is>
          <t>Simulado 01</t>
        </is>
      </c>
      <c r="B504" s="8" t="n">
        <v>27</v>
      </c>
      <c r="C504" s="8" t="inlineStr">
        <is>
          <t>7ª Fase</t>
        </is>
      </c>
      <c r="D504" s="8" t="inlineStr">
        <is>
          <t>B</t>
        </is>
      </c>
      <c r="E504" s="8" t="inlineStr">
        <is>
          <t>Não</t>
        </is>
      </c>
      <c r="F504" s="8" t="n">
        <v>33</v>
      </c>
      <c r="G504" s="8" t="n">
        <v>1</v>
      </c>
      <c r="H504" s="9">
        <f>IF(F504=0,"",G504/F504)</f>
        <v/>
      </c>
    </row>
    <row r="505">
      <c r="A505" s="10" t="inlineStr">
        <is>
          <t>Simulado 01</t>
        </is>
      </c>
      <c r="B505" s="11" t="n">
        <v>27</v>
      </c>
      <c r="C505" s="11" t="inlineStr">
        <is>
          <t>7ª Fase</t>
        </is>
      </c>
      <c r="D505" s="11" t="inlineStr">
        <is>
          <t>C</t>
        </is>
      </c>
      <c r="E505" s="11" t="inlineStr">
        <is>
          <t>Não</t>
        </is>
      </c>
      <c r="F505" s="11" t="n">
        <v>33</v>
      </c>
      <c r="G505" s="11" t="n">
        <v>0</v>
      </c>
      <c r="H505" s="12">
        <f>IF(F505=0,"",G505/F505)</f>
        <v/>
      </c>
    </row>
    <row r="506">
      <c r="A506" s="7" t="inlineStr">
        <is>
          <t>Simulado 01</t>
        </is>
      </c>
      <c r="B506" s="8" t="n">
        <v>27</v>
      </c>
      <c r="C506" s="8" t="inlineStr">
        <is>
          <t>7ª Fase</t>
        </is>
      </c>
      <c r="D506" s="8" t="inlineStr">
        <is>
          <t>D</t>
        </is>
      </c>
      <c r="E506" s="8" t="inlineStr">
        <is>
          <t>Não</t>
        </is>
      </c>
      <c r="F506" s="8" t="n">
        <v>33</v>
      </c>
      <c r="G506" s="8" t="n">
        <v>16</v>
      </c>
      <c r="H506" s="9">
        <f>IF(F506=0,"",G506/F506)</f>
        <v/>
      </c>
    </row>
    <row r="507">
      <c r="A507" s="10" t="inlineStr">
        <is>
          <t>Simulado 01</t>
        </is>
      </c>
      <c r="B507" s="11" t="n">
        <v>27</v>
      </c>
      <c r="C507" s="11" t="inlineStr">
        <is>
          <t>7ª Fase</t>
        </is>
      </c>
      <c r="D507" s="11" t="inlineStr">
        <is>
          <t>E</t>
        </is>
      </c>
      <c r="E507" s="11" t="inlineStr">
        <is>
          <t>Sim</t>
        </is>
      </c>
      <c r="F507" s="11" t="n">
        <v>33</v>
      </c>
      <c r="G507" s="11" t="n">
        <v>16</v>
      </c>
      <c r="H507" s="12">
        <f>IF(F507=0,"",G507/F507)</f>
        <v/>
      </c>
    </row>
    <row r="508">
      <c r="A508" s="7" t="inlineStr">
        <is>
          <t>Simulado 01</t>
        </is>
      </c>
      <c r="B508" s="8" t="n">
        <v>27</v>
      </c>
      <c r="C508" s="8" t="inlineStr">
        <is>
          <t>10ª Fase</t>
        </is>
      </c>
      <c r="D508" s="8" t="inlineStr">
        <is>
          <t>A</t>
        </is>
      </c>
      <c r="E508" s="8" t="inlineStr">
        <is>
          <t>Não</t>
        </is>
      </c>
      <c r="F508" s="8" t="n">
        <v>31</v>
      </c>
      <c r="G508" s="8" t="n">
        <v>1</v>
      </c>
      <c r="H508" s="9">
        <f>IF(F508=0,"",G508/F508)</f>
        <v/>
      </c>
    </row>
    <row r="509">
      <c r="A509" s="10" t="inlineStr">
        <is>
          <t>Simulado 01</t>
        </is>
      </c>
      <c r="B509" s="11" t="n">
        <v>27</v>
      </c>
      <c r="C509" s="11" t="inlineStr">
        <is>
          <t>10ª Fase</t>
        </is>
      </c>
      <c r="D509" s="11" t="inlineStr">
        <is>
          <t>B</t>
        </is>
      </c>
      <c r="E509" s="11" t="inlineStr">
        <is>
          <t>Não</t>
        </is>
      </c>
      <c r="F509" s="11" t="n">
        <v>31</v>
      </c>
      <c r="G509" s="11" t="n">
        <v>1</v>
      </c>
      <c r="H509" s="12">
        <f>IF(F509=0,"",G509/F509)</f>
        <v/>
      </c>
    </row>
    <row r="510">
      <c r="A510" s="7" t="inlineStr">
        <is>
          <t>Simulado 01</t>
        </is>
      </c>
      <c r="B510" s="8" t="n">
        <v>27</v>
      </c>
      <c r="C510" s="8" t="inlineStr">
        <is>
          <t>10ª Fase</t>
        </is>
      </c>
      <c r="D510" s="8" t="inlineStr">
        <is>
          <t>C</t>
        </is>
      </c>
      <c r="E510" s="8" t="inlineStr">
        <is>
          <t>Não</t>
        </is>
      </c>
      <c r="F510" s="8" t="n">
        <v>31</v>
      </c>
      <c r="G510" s="8" t="n">
        <v>3</v>
      </c>
      <c r="H510" s="9">
        <f>IF(F510=0,"",G510/F510)</f>
        <v/>
      </c>
    </row>
    <row r="511">
      <c r="A511" s="10" t="inlineStr">
        <is>
          <t>Simulado 01</t>
        </is>
      </c>
      <c r="B511" s="11" t="n">
        <v>27</v>
      </c>
      <c r="C511" s="11" t="inlineStr">
        <is>
          <t>10ª Fase</t>
        </is>
      </c>
      <c r="D511" s="11" t="inlineStr">
        <is>
          <t>D</t>
        </is>
      </c>
      <c r="E511" s="11" t="inlineStr">
        <is>
          <t>Não</t>
        </is>
      </c>
      <c r="F511" s="11" t="n">
        <v>31</v>
      </c>
      <c r="G511" s="11" t="n">
        <v>9</v>
      </c>
      <c r="H511" s="12">
        <f>IF(F511=0,"",G511/F511)</f>
        <v/>
      </c>
    </row>
    <row r="512">
      <c r="A512" s="7" t="inlineStr">
        <is>
          <t>Simulado 01</t>
        </is>
      </c>
      <c r="B512" s="8" t="n">
        <v>27</v>
      </c>
      <c r="C512" s="8" t="inlineStr">
        <is>
          <t>10ª Fase</t>
        </is>
      </c>
      <c r="D512" s="8" t="inlineStr">
        <is>
          <t>E</t>
        </is>
      </c>
      <c r="E512" s="8" t="inlineStr">
        <is>
          <t>Sim</t>
        </is>
      </c>
      <c r="F512" s="8" t="n">
        <v>31</v>
      </c>
      <c r="G512" s="8" t="n">
        <v>17</v>
      </c>
      <c r="H512" s="9">
        <f>IF(F512=0,"",G512/F512)</f>
        <v/>
      </c>
    </row>
    <row r="513">
      <c r="A513" s="10" t="inlineStr">
        <is>
          <t>Simulado 01</t>
        </is>
      </c>
      <c r="B513" s="11" t="n">
        <v>27</v>
      </c>
      <c r="C513" s="11" t="inlineStr">
        <is>
          <t>11ª Fase</t>
        </is>
      </c>
      <c r="D513" s="11" t="inlineStr">
        <is>
          <t>A</t>
        </is>
      </c>
      <c r="E513" s="11" t="inlineStr">
        <is>
          <t>Não</t>
        </is>
      </c>
      <c r="F513" s="11" t="n">
        <v>27</v>
      </c>
      <c r="G513" s="11" t="n">
        <v>0</v>
      </c>
      <c r="H513" s="12">
        <f>IF(F513=0,"",G513/F513)</f>
        <v/>
      </c>
    </row>
    <row r="514">
      <c r="A514" s="7" t="inlineStr">
        <is>
          <t>Simulado 01</t>
        </is>
      </c>
      <c r="B514" s="8" t="n">
        <v>27</v>
      </c>
      <c r="C514" s="8" t="inlineStr">
        <is>
          <t>11ª Fase</t>
        </is>
      </c>
      <c r="D514" s="8" t="inlineStr">
        <is>
          <t>B</t>
        </is>
      </c>
      <c r="E514" s="8" t="inlineStr">
        <is>
          <t>Não</t>
        </is>
      </c>
      <c r="F514" s="8" t="n">
        <v>27</v>
      </c>
      <c r="G514" s="8" t="n">
        <v>0</v>
      </c>
      <c r="H514" s="9">
        <f>IF(F514=0,"",G514/F514)</f>
        <v/>
      </c>
    </row>
    <row r="515">
      <c r="A515" s="10" t="inlineStr">
        <is>
          <t>Simulado 01</t>
        </is>
      </c>
      <c r="B515" s="11" t="n">
        <v>27</v>
      </c>
      <c r="C515" s="11" t="inlineStr">
        <is>
          <t>11ª Fase</t>
        </is>
      </c>
      <c r="D515" s="11" t="inlineStr">
        <is>
          <t>C</t>
        </is>
      </c>
      <c r="E515" s="11" t="inlineStr">
        <is>
          <t>Não</t>
        </is>
      </c>
      <c r="F515" s="11" t="n">
        <v>27</v>
      </c>
      <c r="G515" s="11" t="n">
        <v>1</v>
      </c>
      <c r="H515" s="12">
        <f>IF(F515=0,"",G515/F515)</f>
        <v/>
      </c>
    </row>
    <row r="516">
      <c r="A516" s="7" t="inlineStr">
        <is>
          <t>Simulado 01</t>
        </is>
      </c>
      <c r="B516" s="8" t="n">
        <v>27</v>
      </c>
      <c r="C516" s="8" t="inlineStr">
        <is>
          <t>11ª Fase</t>
        </is>
      </c>
      <c r="D516" s="8" t="inlineStr">
        <is>
          <t>D</t>
        </is>
      </c>
      <c r="E516" s="8" t="inlineStr">
        <is>
          <t>Não</t>
        </is>
      </c>
      <c r="F516" s="8" t="n">
        <v>27</v>
      </c>
      <c r="G516" s="8" t="n">
        <v>14</v>
      </c>
      <c r="H516" s="9">
        <f>IF(F516=0,"",G516/F516)</f>
        <v/>
      </c>
    </row>
    <row r="517">
      <c r="A517" s="10" t="inlineStr">
        <is>
          <t>Simulado 01</t>
        </is>
      </c>
      <c r="B517" s="11" t="n">
        <v>27</v>
      </c>
      <c r="C517" s="11" t="inlineStr">
        <is>
          <t>11ª Fase</t>
        </is>
      </c>
      <c r="D517" s="11" t="inlineStr">
        <is>
          <t>E</t>
        </is>
      </c>
      <c r="E517" s="11" t="inlineStr">
        <is>
          <t>Sim</t>
        </is>
      </c>
      <c r="F517" s="11" t="n">
        <v>27</v>
      </c>
      <c r="G517" s="11" t="n">
        <v>12</v>
      </c>
      <c r="H517" s="12">
        <f>IF(F517=0,"",G517/F517)</f>
        <v/>
      </c>
    </row>
    <row r="518">
      <c r="A518" s="7" t="inlineStr">
        <is>
          <t>Simulado 01</t>
        </is>
      </c>
      <c r="B518" s="8" t="n">
        <v>28</v>
      </c>
      <c r="C518" s="8" t="inlineStr">
        <is>
          <t>6ª Fase</t>
        </is>
      </c>
      <c r="D518" s="8" t="inlineStr">
        <is>
          <t>A</t>
        </is>
      </c>
      <c r="E518" s="8" t="inlineStr">
        <is>
          <t>Não</t>
        </is>
      </c>
      <c r="F518" s="8" t="n">
        <v>27</v>
      </c>
      <c r="G518" s="8" t="n">
        <v>0</v>
      </c>
      <c r="H518" s="9">
        <f>IF(F518=0,"",G518/F518)</f>
        <v/>
      </c>
    </row>
    <row r="519">
      <c r="A519" s="10" t="inlineStr">
        <is>
          <t>Simulado 01</t>
        </is>
      </c>
      <c r="B519" s="11" t="n">
        <v>28</v>
      </c>
      <c r="C519" s="11" t="inlineStr">
        <is>
          <t>6ª Fase</t>
        </is>
      </c>
      <c r="D519" s="11" t="inlineStr">
        <is>
          <t>B</t>
        </is>
      </c>
      <c r="E519" s="11" t="inlineStr">
        <is>
          <t>Não</t>
        </is>
      </c>
      <c r="F519" s="11" t="n">
        <v>27</v>
      </c>
      <c r="G519" s="11" t="n">
        <v>0</v>
      </c>
      <c r="H519" s="12">
        <f>IF(F519=0,"",G519/F519)</f>
        <v/>
      </c>
    </row>
    <row r="520">
      <c r="A520" s="7" t="inlineStr">
        <is>
          <t>Simulado 01</t>
        </is>
      </c>
      <c r="B520" s="8" t="n">
        <v>28</v>
      </c>
      <c r="C520" s="8" t="inlineStr">
        <is>
          <t>6ª Fase</t>
        </is>
      </c>
      <c r="D520" s="8" t="inlineStr">
        <is>
          <t>C</t>
        </is>
      </c>
      <c r="E520" s="8" t="inlineStr">
        <is>
          <t>Não</t>
        </is>
      </c>
      <c r="F520" s="8" t="n">
        <v>27</v>
      </c>
      <c r="G520" s="8" t="n">
        <v>0</v>
      </c>
      <c r="H520" s="9">
        <f>IF(F520=0,"",G520/F520)</f>
        <v/>
      </c>
    </row>
    <row r="521">
      <c r="A521" s="10" t="inlineStr">
        <is>
          <t>Simulado 01</t>
        </is>
      </c>
      <c r="B521" s="11" t="n">
        <v>28</v>
      </c>
      <c r="C521" s="11" t="inlineStr">
        <is>
          <t>6ª Fase</t>
        </is>
      </c>
      <c r="D521" s="11" t="inlineStr">
        <is>
          <t>D</t>
        </is>
      </c>
      <c r="E521" s="11" t="inlineStr">
        <is>
          <t>Sim</t>
        </is>
      </c>
      <c r="F521" s="11" t="n">
        <v>27</v>
      </c>
      <c r="G521" s="11" t="n">
        <v>25</v>
      </c>
      <c r="H521" s="12">
        <f>IF(F521=0,"",G521/F521)</f>
        <v/>
      </c>
    </row>
    <row r="522">
      <c r="A522" s="7" t="inlineStr">
        <is>
          <t>Simulado 01</t>
        </is>
      </c>
      <c r="B522" s="8" t="n">
        <v>28</v>
      </c>
      <c r="C522" s="8" t="inlineStr">
        <is>
          <t>6ª Fase</t>
        </is>
      </c>
      <c r="D522" s="8" t="inlineStr">
        <is>
          <t>E</t>
        </is>
      </c>
      <c r="E522" s="8" t="inlineStr">
        <is>
          <t>Não</t>
        </is>
      </c>
      <c r="F522" s="8" t="n">
        <v>27</v>
      </c>
      <c r="G522" s="8" t="n">
        <v>2</v>
      </c>
      <c r="H522" s="9">
        <f>IF(F522=0,"",G522/F522)</f>
        <v/>
      </c>
    </row>
    <row r="523">
      <c r="A523" s="10" t="inlineStr">
        <is>
          <t>Simulado 01</t>
        </is>
      </c>
      <c r="B523" s="11" t="n">
        <v>28</v>
      </c>
      <c r="C523" s="11" t="inlineStr">
        <is>
          <t>7ª Fase</t>
        </is>
      </c>
      <c r="D523" s="11" t="inlineStr">
        <is>
          <t>A</t>
        </is>
      </c>
      <c r="E523" s="11" t="inlineStr">
        <is>
          <t>Não</t>
        </is>
      </c>
      <c r="F523" s="11" t="n">
        <v>33</v>
      </c>
      <c r="G523" s="11" t="n">
        <v>0</v>
      </c>
      <c r="H523" s="12">
        <f>IF(F523=0,"",G523/F523)</f>
        <v/>
      </c>
    </row>
    <row r="524">
      <c r="A524" s="7" t="inlineStr">
        <is>
          <t>Simulado 01</t>
        </is>
      </c>
      <c r="B524" s="8" t="n">
        <v>28</v>
      </c>
      <c r="C524" s="8" t="inlineStr">
        <is>
          <t>7ª Fase</t>
        </is>
      </c>
      <c r="D524" s="8" t="inlineStr">
        <is>
          <t>B</t>
        </is>
      </c>
      <c r="E524" s="8" t="inlineStr">
        <is>
          <t>Não</t>
        </is>
      </c>
      <c r="F524" s="8" t="n">
        <v>33</v>
      </c>
      <c r="G524" s="8" t="n">
        <v>0</v>
      </c>
      <c r="H524" s="9">
        <f>IF(F524=0,"",G524/F524)</f>
        <v/>
      </c>
    </row>
    <row r="525">
      <c r="A525" s="10" t="inlineStr">
        <is>
          <t>Simulado 01</t>
        </is>
      </c>
      <c r="B525" s="11" t="n">
        <v>28</v>
      </c>
      <c r="C525" s="11" t="inlineStr">
        <is>
          <t>7ª Fase</t>
        </is>
      </c>
      <c r="D525" s="11" t="inlineStr">
        <is>
          <t>C</t>
        </is>
      </c>
      <c r="E525" s="11" t="inlineStr">
        <is>
          <t>Não</t>
        </is>
      </c>
      <c r="F525" s="11" t="n">
        <v>33</v>
      </c>
      <c r="G525" s="11" t="n">
        <v>0</v>
      </c>
      <c r="H525" s="12">
        <f>IF(F525=0,"",G525/F525)</f>
        <v/>
      </c>
    </row>
    <row r="526">
      <c r="A526" s="7" t="inlineStr">
        <is>
          <t>Simulado 01</t>
        </is>
      </c>
      <c r="B526" s="8" t="n">
        <v>28</v>
      </c>
      <c r="C526" s="8" t="inlineStr">
        <is>
          <t>7ª Fase</t>
        </is>
      </c>
      <c r="D526" s="8" t="inlineStr">
        <is>
          <t>D</t>
        </is>
      </c>
      <c r="E526" s="8" t="inlineStr">
        <is>
          <t>Sim</t>
        </is>
      </c>
      <c r="F526" s="8" t="n">
        <v>33</v>
      </c>
      <c r="G526" s="8" t="n">
        <v>31</v>
      </c>
      <c r="H526" s="9">
        <f>IF(F526=0,"",G526/F526)</f>
        <v/>
      </c>
    </row>
    <row r="527">
      <c r="A527" s="10" t="inlineStr">
        <is>
          <t>Simulado 01</t>
        </is>
      </c>
      <c r="B527" s="11" t="n">
        <v>28</v>
      </c>
      <c r="C527" s="11" t="inlineStr">
        <is>
          <t>7ª Fase</t>
        </is>
      </c>
      <c r="D527" s="11" t="inlineStr">
        <is>
          <t>E</t>
        </is>
      </c>
      <c r="E527" s="11" t="inlineStr">
        <is>
          <t>Não</t>
        </is>
      </c>
      <c r="F527" s="11" t="n">
        <v>33</v>
      </c>
      <c r="G527" s="11" t="n">
        <v>2</v>
      </c>
      <c r="H527" s="12">
        <f>IF(F527=0,"",G527/F527)</f>
        <v/>
      </c>
    </row>
    <row r="528">
      <c r="A528" s="7" t="inlineStr">
        <is>
          <t>Simulado 01</t>
        </is>
      </c>
      <c r="B528" s="8" t="n">
        <v>28</v>
      </c>
      <c r="C528" s="8" t="inlineStr">
        <is>
          <t>10ª Fase</t>
        </is>
      </c>
      <c r="D528" s="8" t="inlineStr">
        <is>
          <t>A</t>
        </is>
      </c>
      <c r="E528" s="8" t="inlineStr">
        <is>
          <t>Não</t>
        </is>
      </c>
      <c r="F528" s="8" t="n">
        <v>31</v>
      </c>
      <c r="G528" s="8" t="n">
        <v>0</v>
      </c>
      <c r="H528" s="9">
        <f>IF(F528=0,"",G528/F528)</f>
        <v/>
      </c>
    </row>
    <row r="529">
      <c r="A529" s="10" t="inlineStr">
        <is>
          <t>Simulado 01</t>
        </is>
      </c>
      <c r="B529" s="11" t="n">
        <v>28</v>
      </c>
      <c r="C529" s="11" t="inlineStr">
        <is>
          <t>10ª Fase</t>
        </is>
      </c>
      <c r="D529" s="11" t="inlineStr">
        <is>
          <t>B</t>
        </is>
      </c>
      <c r="E529" s="11" t="inlineStr">
        <is>
          <t>Não</t>
        </is>
      </c>
      <c r="F529" s="11" t="n">
        <v>31</v>
      </c>
      <c r="G529" s="11" t="n">
        <v>0</v>
      </c>
      <c r="H529" s="12">
        <f>IF(F529=0,"",G529/F529)</f>
        <v/>
      </c>
    </row>
    <row r="530">
      <c r="A530" s="7" t="inlineStr">
        <is>
          <t>Simulado 01</t>
        </is>
      </c>
      <c r="B530" s="8" t="n">
        <v>28</v>
      </c>
      <c r="C530" s="8" t="inlineStr">
        <is>
          <t>10ª Fase</t>
        </is>
      </c>
      <c r="D530" s="8" t="inlineStr">
        <is>
          <t>C</t>
        </is>
      </c>
      <c r="E530" s="8" t="inlineStr">
        <is>
          <t>Não</t>
        </is>
      </c>
      <c r="F530" s="8" t="n">
        <v>31</v>
      </c>
      <c r="G530" s="8" t="n">
        <v>0</v>
      </c>
      <c r="H530" s="9">
        <f>IF(F530=0,"",G530/F530)</f>
        <v/>
      </c>
    </row>
    <row r="531">
      <c r="A531" s="10" t="inlineStr">
        <is>
          <t>Simulado 01</t>
        </is>
      </c>
      <c r="B531" s="11" t="n">
        <v>28</v>
      </c>
      <c r="C531" s="11" t="inlineStr">
        <is>
          <t>10ª Fase</t>
        </is>
      </c>
      <c r="D531" s="11" t="inlineStr">
        <is>
          <t>D</t>
        </is>
      </c>
      <c r="E531" s="11" t="inlineStr">
        <is>
          <t>Sim</t>
        </is>
      </c>
      <c r="F531" s="11" t="n">
        <v>31</v>
      </c>
      <c r="G531" s="11" t="n">
        <v>31</v>
      </c>
      <c r="H531" s="12">
        <f>IF(F531=0,"",G531/F531)</f>
        <v/>
      </c>
    </row>
    <row r="532">
      <c r="A532" s="7" t="inlineStr">
        <is>
          <t>Simulado 01</t>
        </is>
      </c>
      <c r="B532" s="8" t="n">
        <v>28</v>
      </c>
      <c r="C532" s="8" t="inlineStr">
        <is>
          <t>10ª Fase</t>
        </is>
      </c>
      <c r="D532" s="8" t="inlineStr">
        <is>
          <t>E</t>
        </is>
      </c>
      <c r="E532" s="8" t="inlineStr">
        <is>
          <t>Não</t>
        </is>
      </c>
      <c r="F532" s="8" t="n">
        <v>31</v>
      </c>
      <c r="G532" s="8" t="n">
        <v>0</v>
      </c>
      <c r="H532" s="9">
        <f>IF(F532=0,"",G532/F532)</f>
        <v/>
      </c>
    </row>
    <row r="533">
      <c r="A533" s="10" t="inlineStr">
        <is>
          <t>Simulado 01</t>
        </is>
      </c>
      <c r="B533" s="11" t="n">
        <v>28</v>
      </c>
      <c r="C533" s="11" t="inlineStr">
        <is>
          <t>11ª Fase</t>
        </is>
      </c>
      <c r="D533" s="11" t="inlineStr">
        <is>
          <t>A</t>
        </is>
      </c>
      <c r="E533" s="11" t="inlineStr">
        <is>
          <t>Não</t>
        </is>
      </c>
      <c r="F533" s="11" t="n">
        <v>27</v>
      </c>
      <c r="G533" s="11" t="n">
        <v>0</v>
      </c>
      <c r="H533" s="12">
        <f>IF(F533=0,"",G533/F533)</f>
        <v/>
      </c>
    </row>
    <row r="534">
      <c r="A534" s="7" t="inlineStr">
        <is>
          <t>Simulado 01</t>
        </is>
      </c>
      <c r="B534" s="8" t="n">
        <v>28</v>
      </c>
      <c r="C534" s="8" t="inlineStr">
        <is>
          <t>11ª Fase</t>
        </is>
      </c>
      <c r="D534" s="8" t="inlineStr">
        <is>
          <t>B</t>
        </is>
      </c>
      <c r="E534" s="8" t="inlineStr">
        <is>
          <t>Não</t>
        </is>
      </c>
      <c r="F534" s="8" t="n">
        <v>27</v>
      </c>
      <c r="G534" s="8" t="n">
        <v>0</v>
      </c>
      <c r="H534" s="9">
        <f>IF(F534=0,"",G534/F534)</f>
        <v/>
      </c>
    </row>
    <row r="535">
      <c r="A535" s="10" t="inlineStr">
        <is>
          <t>Simulado 01</t>
        </is>
      </c>
      <c r="B535" s="11" t="n">
        <v>28</v>
      </c>
      <c r="C535" s="11" t="inlineStr">
        <is>
          <t>11ª Fase</t>
        </is>
      </c>
      <c r="D535" s="11" t="inlineStr">
        <is>
          <t>C</t>
        </is>
      </c>
      <c r="E535" s="11" t="inlineStr">
        <is>
          <t>Não</t>
        </is>
      </c>
      <c r="F535" s="11" t="n">
        <v>27</v>
      </c>
      <c r="G535" s="11" t="n">
        <v>0</v>
      </c>
      <c r="H535" s="12">
        <f>IF(F535=0,"",G535/F535)</f>
        <v/>
      </c>
    </row>
    <row r="536">
      <c r="A536" s="7" t="inlineStr">
        <is>
          <t>Simulado 01</t>
        </is>
      </c>
      <c r="B536" s="8" t="n">
        <v>28</v>
      </c>
      <c r="C536" s="8" t="inlineStr">
        <is>
          <t>11ª Fase</t>
        </is>
      </c>
      <c r="D536" s="8" t="inlineStr">
        <is>
          <t>D</t>
        </is>
      </c>
      <c r="E536" s="8" t="inlineStr">
        <is>
          <t>Sim</t>
        </is>
      </c>
      <c r="F536" s="8" t="n">
        <v>27</v>
      </c>
      <c r="G536" s="8" t="n">
        <v>26</v>
      </c>
      <c r="H536" s="9">
        <f>IF(F536=0,"",G536/F536)</f>
        <v/>
      </c>
    </row>
    <row r="537">
      <c r="A537" s="10" t="inlineStr">
        <is>
          <t>Simulado 01</t>
        </is>
      </c>
      <c r="B537" s="11" t="n">
        <v>28</v>
      </c>
      <c r="C537" s="11" t="inlineStr">
        <is>
          <t>11ª Fase</t>
        </is>
      </c>
      <c r="D537" s="11" t="inlineStr">
        <is>
          <t>E</t>
        </is>
      </c>
      <c r="E537" s="11" t="inlineStr">
        <is>
          <t>Não</t>
        </is>
      </c>
      <c r="F537" s="11" t="n">
        <v>27</v>
      </c>
      <c r="G537" s="11" t="n">
        <v>1</v>
      </c>
      <c r="H537" s="12">
        <f>IF(F537=0,"",G537/F537)</f>
        <v/>
      </c>
    </row>
    <row r="538">
      <c r="A538" s="7" t="inlineStr">
        <is>
          <t>Simulado 01</t>
        </is>
      </c>
      <c r="B538" s="8" t="n">
        <v>29</v>
      </c>
      <c r="C538" s="8" t="inlineStr">
        <is>
          <t>6ª Fase</t>
        </is>
      </c>
      <c r="D538" s="8" t="inlineStr">
        <is>
          <t>A</t>
        </is>
      </c>
      <c r="E538" s="8" t="inlineStr">
        <is>
          <t>Não</t>
        </is>
      </c>
      <c r="F538" s="8" t="n">
        <v>27</v>
      </c>
      <c r="G538" s="8" t="n">
        <v>0</v>
      </c>
      <c r="H538" s="9">
        <f>IF(F538=0,"",G538/F538)</f>
        <v/>
      </c>
    </row>
    <row r="539">
      <c r="A539" s="10" t="inlineStr">
        <is>
          <t>Simulado 01</t>
        </is>
      </c>
      <c r="B539" s="11" t="n">
        <v>29</v>
      </c>
      <c r="C539" s="11" t="inlineStr">
        <is>
          <t>6ª Fase</t>
        </is>
      </c>
      <c r="D539" s="11" t="inlineStr">
        <is>
          <t>B</t>
        </is>
      </c>
      <c r="E539" s="11" t="inlineStr">
        <is>
          <t>Não</t>
        </is>
      </c>
      <c r="F539" s="11" t="n">
        <v>27</v>
      </c>
      <c r="G539" s="11" t="n">
        <v>0</v>
      </c>
      <c r="H539" s="12">
        <f>IF(F539=0,"",G539/F539)</f>
        <v/>
      </c>
    </row>
    <row r="540">
      <c r="A540" s="7" t="inlineStr">
        <is>
          <t>Simulado 01</t>
        </is>
      </c>
      <c r="B540" s="8" t="n">
        <v>29</v>
      </c>
      <c r="C540" s="8" t="inlineStr">
        <is>
          <t>6ª Fase</t>
        </is>
      </c>
      <c r="D540" s="8" t="inlineStr">
        <is>
          <t>C</t>
        </is>
      </c>
      <c r="E540" s="8" t="inlineStr">
        <is>
          <t>Não</t>
        </is>
      </c>
      <c r="F540" s="8" t="n">
        <v>27</v>
      </c>
      <c r="G540" s="8" t="n">
        <v>1</v>
      </c>
      <c r="H540" s="9">
        <f>IF(F540=0,"",G540/F540)</f>
        <v/>
      </c>
    </row>
    <row r="541">
      <c r="A541" s="10" t="inlineStr">
        <is>
          <t>Simulado 01</t>
        </is>
      </c>
      <c r="B541" s="11" t="n">
        <v>29</v>
      </c>
      <c r="C541" s="11" t="inlineStr">
        <is>
          <t>6ª Fase</t>
        </is>
      </c>
      <c r="D541" s="11" t="inlineStr">
        <is>
          <t>D</t>
        </is>
      </c>
      <c r="E541" s="11" t="inlineStr">
        <is>
          <t>Sim</t>
        </is>
      </c>
      <c r="F541" s="11" t="n">
        <v>27</v>
      </c>
      <c r="G541" s="11" t="n">
        <v>26</v>
      </c>
      <c r="H541" s="12">
        <f>IF(F541=0,"",G541/F541)</f>
        <v/>
      </c>
    </row>
    <row r="542">
      <c r="A542" s="7" t="inlineStr">
        <is>
          <t>Simulado 01</t>
        </is>
      </c>
      <c r="B542" s="8" t="n">
        <v>29</v>
      </c>
      <c r="C542" s="8" t="inlineStr">
        <is>
          <t>7ª Fase</t>
        </is>
      </c>
      <c r="D542" s="8" t="inlineStr">
        <is>
          <t>A</t>
        </is>
      </c>
      <c r="E542" s="8" t="inlineStr">
        <is>
          <t>Não</t>
        </is>
      </c>
      <c r="F542" s="8" t="n">
        <v>33</v>
      </c>
      <c r="G542" s="8" t="n">
        <v>4</v>
      </c>
      <c r="H542" s="9">
        <f>IF(F542=0,"",G542/F542)</f>
        <v/>
      </c>
    </row>
    <row r="543">
      <c r="A543" s="10" t="inlineStr">
        <is>
          <t>Simulado 01</t>
        </is>
      </c>
      <c r="B543" s="11" t="n">
        <v>29</v>
      </c>
      <c r="C543" s="11" t="inlineStr">
        <is>
          <t>7ª Fase</t>
        </is>
      </c>
      <c r="D543" s="11" t="inlineStr">
        <is>
          <t>B</t>
        </is>
      </c>
      <c r="E543" s="11" t="inlineStr">
        <is>
          <t>Não</t>
        </is>
      </c>
      <c r="F543" s="11" t="n">
        <v>33</v>
      </c>
      <c r="G543" s="11" t="n">
        <v>0</v>
      </c>
      <c r="H543" s="12">
        <f>IF(F543=0,"",G543/F543)</f>
        <v/>
      </c>
    </row>
    <row r="544">
      <c r="A544" s="7" t="inlineStr">
        <is>
          <t>Simulado 01</t>
        </is>
      </c>
      <c r="B544" s="8" t="n">
        <v>29</v>
      </c>
      <c r="C544" s="8" t="inlineStr">
        <is>
          <t>7ª Fase</t>
        </is>
      </c>
      <c r="D544" s="8" t="inlineStr">
        <is>
          <t>C</t>
        </is>
      </c>
      <c r="E544" s="8" t="inlineStr">
        <is>
          <t>Não</t>
        </is>
      </c>
      <c r="F544" s="8" t="n">
        <v>33</v>
      </c>
      <c r="G544" s="8" t="n">
        <v>0</v>
      </c>
      <c r="H544" s="9">
        <f>IF(F544=0,"",G544/F544)</f>
        <v/>
      </c>
    </row>
    <row r="545">
      <c r="A545" s="10" t="inlineStr">
        <is>
          <t>Simulado 01</t>
        </is>
      </c>
      <c r="B545" s="11" t="n">
        <v>29</v>
      </c>
      <c r="C545" s="11" t="inlineStr">
        <is>
          <t>7ª Fase</t>
        </is>
      </c>
      <c r="D545" s="11" t="inlineStr">
        <is>
          <t>D</t>
        </is>
      </c>
      <c r="E545" s="11" t="inlineStr">
        <is>
          <t>Sim</t>
        </is>
      </c>
      <c r="F545" s="11" t="n">
        <v>33</v>
      </c>
      <c r="G545" s="11" t="n">
        <v>29</v>
      </c>
      <c r="H545" s="12">
        <f>IF(F545=0,"",G545/F545)</f>
        <v/>
      </c>
    </row>
    <row r="546">
      <c r="A546" s="7" t="inlineStr">
        <is>
          <t>Simulado 01</t>
        </is>
      </c>
      <c r="B546" s="8" t="n">
        <v>29</v>
      </c>
      <c r="C546" s="8" t="inlineStr">
        <is>
          <t>10ª Fase</t>
        </is>
      </c>
      <c r="D546" s="8" t="inlineStr">
        <is>
          <t>A</t>
        </is>
      </c>
      <c r="E546" s="8" t="inlineStr">
        <is>
          <t>Não</t>
        </is>
      </c>
      <c r="F546" s="8" t="n">
        <v>31</v>
      </c>
      <c r="G546" s="8" t="n">
        <v>1</v>
      </c>
      <c r="H546" s="9">
        <f>IF(F546=0,"",G546/F546)</f>
        <v/>
      </c>
    </row>
    <row r="547">
      <c r="A547" s="10" t="inlineStr">
        <is>
          <t>Simulado 01</t>
        </is>
      </c>
      <c r="B547" s="11" t="n">
        <v>29</v>
      </c>
      <c r="C547" s="11" t="inlineStr">
        <is>
          <t>10ª Fase</t>
        </is>
      </c>
      <c r="D547" s="11" t="inlineStr">
        <is>
          <t>B</t>
        </is>
      </c>
      <c r="E547" s="11" t="inlineStr">
        <is>
          <t>Não</t>
        </is>
      </c>
      <c r="F547" s="11" t="n">
        <v>31</v>
      </c>
      <c r="G547" s="11" t="n">
        <v>0</v>
      </c>
      <c r="H547" s="12">
        <f>IF(F547=0,"",G547/F547)</f>
        <v/>
      </c>
    </row>
    <row r="548">
      <c r="A548" s="7" t="inlineStr">
        <is>
          <t>Simulado 01</t>
        </is>
      </c>
      <c r="B548" s="8" t="n">
        <v>29</v>
      </c>
      <c r="C548" s="8" t="inlineStr">
        <is>
          <t>10ª Fase</t>
        </is>
      </c>
      <c r="D548" s="8" t="inlineStr">
        <is>
          <t>C</t>
        </is>
      </c>
      <c r="E548" s="8" t="inlineStr">
        <is>
          <t>Não</t>
        </is>
      </c>
      <c r="F548" s="8" t="n">
        <v>31</v>
      </c>
      <c r="G548" s="8" t="n">
        <v>0</v>
      </c>
      <c r="H548" s="9">
        <f>IF(F548=0,"",G548/F548)</f>
        <v/>
      </c>
    </row>
    <row r="549">
      <c r="A549" s="10" t="inlineStr">
        <is>
          <t>Simulado 01</t>
        </is>
      </c>
      <c r="B549" s="11" t="n">
        <v>29</v>
      </c>
      <c r="C549" s="11" t="inlineStr">
        <is>
          <t>10ª Fase</t>
        </is>
      </c>
      <c r="D549" s="11" t="inlineStr">
        <is>
          <t>D</t>
        </is>
      </c>
      <c r="E549" s="11" t="inlineStr">
        <is>
          <t>Sim</t>
        </is>
      </c>
      <c r="F549" s="11" t="n">
        <v>31</v>
      </c>
      <c r="G549" s="11" t="n">
        <v>30</v>
      </c>
      <c r="H549" s="12">
        <f>IF(F549=0,"",G549/F549)</f>
        <v/>
      </c>
    </row>
    <row r="550">
      <c r="A550" s="7" t="inlineStr">
        <is>
          <t>Simulado 01</t>
        </is>
      </c>
      <c r="B550" s="8" t="n">
        <v>29</v>
      </c>
      <c r="C550" s="8" t="inlineStr">
        <is>
          <t>11ª Fase</t>
        </is>
      </c>
      <c r="D550" s="8" t="inlineStr">
        <is>
          <t>A</t>
        </is>
      </c>
      <c r="E550" s="8" t="inlineStr">
        <is>
          <t>Não</t>
        </is>
      </c>
      <c r="F550" s="8" t="n">
        <v>27</v>
      </c>
      <c r="G550" s="8" t="n">
        <v>1</v>
      </c>
      <c r="H550" s="9">
        <f>IF(F550=0,"",G550/F550)</f>
        <v/>
      </c>
    </row>
    <row r="551">
      <c r="A551" s="10" t="inlineStr">
        <is>
          <t>Simulado 01</t>
        </is>
      </c>
      <c r="B551" s="11" t="n">
        <v>29</v>
      </c>
      <c r="C551" s="11" t="inlineStr">
        <is>
          <t>11ª Fase</t>
        </is>
      </c>
      <c r="D551" s="11" t="inlineStr">
        <is>
          <t>B</t>
        </is>
      </c>
      <c r="E551" s="11" t="inlineStr">
        <is>
          <t>Não</t>
        </is>
      </c>
      <c r="F551" s="11" t="n">
        <v>27</v>
      </c>
      <c r="G551" s="11" t="n">
        <v>0</v>
      </c>
      <c r="H551" s="12">
        <f>IF(F551=0,"",G551/F551)</f>
        <v/>
      </c>
    </row>
    <row r="552">
      <c r="A552" s="7" t="inlineStr">
        <is>
          <t>Simulado 01</t>
        </is>
      </c>
      <c r="B552" s="8" t="n">
        <v>29</v>
      </c>
      <c r="C552" s="8" t="inlineStr">
        <is>
          <t>11ª Fase</t>
        </is>
      </c>
      <c r="D552" s="8" t="inlineStr">
        <is>
          <t>C</t>
        </is>
      </c>
      <c r="E552" s="8" t="inlineStr">
        <is>
          <t>Não</t>
        </is>
      </c>
      <c r="F552" s="8" t="n">
        <v>27</v>
      </c>
      <c r="G552" s="8" t="n">
        <v>0</v>
      </c>
      <c r="H552" s="9">
        <f>IF(F552=0,"",G552/F552)</f>
        <v/>
      </c>
    </row>
    <row r="553">
      <c r="A553" s="10" t="inlineStr">
        <is>
          <t>Simulado 01</t>
        </is>
      </c>
      <c r="B553" s="11" t="n">
        <v>29</v>
      </c>
      <c r="C553" s="11" t="inlineStr">
        <is>
          <t>11ª Fase</t>
        </is>
      </c>
      <c r="D553" s="11" t="inlineStr">
        <is>
          <t>D</t>
        </is>
      </c>
      <c r="E553" s="11" t="inlineStr">
        <is>
          <t>Sim</t>
        </is>
      </c>
      <c r="F553" s="11" t="n">
        <v>27</v>
      </c>
      <c r="G553" s="11" t="n">
        <v>26</v>
      </c>
      <c r="H553" s="12">
        <f>IF(F553=0,"",G553/F553)</f>
        <v/>
      </c>
    </row>
    <row r="554">
      <c r="A554" s="7" t="inlineStr">
        <is>
          <t>Simulado 01</t>
        </is>
      </c>
      <c r="B554" s="8" t="n">
        <v>30</v>
      </c>
      <c r="C554" s="8" t="inlineStr">
        <is>
          <t>6ª Fase</t>
        </is>
      </c>
      <c r="D554" s="8" t="inlineStr">
        <is>
          <t>A</t>
        </is>
      </c>
      <c r="E554" s="8" t="inlineStr">
        <is>
          <t>Não</t>
        </is>
      </c>
      <c r="F554" s="8" t="n">
        <v>27</v>
      </c>
      <c r="G554" s="8" t="n">
        <v>1</v>
      </c>
      <c r="H554" s="9">
        <f>IF(F554=0,"",G554/F554)</f>
        <v/>
      </c>
    </row>
    <row r="555">
      <c r="A555" s="10" t="inlineStr">
        <is>
          <t>Simulado 01</t>
        </is>
      </c>
      <c r="B555" s="11" t="n">
        <v>30</v>
      </c>
      <c r="C555" s="11" t="inlineStr">
        <is>
          <t>6ª Fase</t>
        </is>
      </c>
      <c r="D555" s="11" t="inlineStr">
        <is>
          <t>B</t>
        </is>
      </c>
      <c r="E555" s="11" t="inlineStr">
        <is>
          <t>Não</t>
        </is>
      </c>
      <c r="F555" s="11" t="n">
        <v>27</v>
      </c>
      <c r="G555" s="11" t="n">
        <v>3</v>
      </c>
      <c r="H555" s="12">
        <f>IF(F555=0,"",G555/F555)</f>
        <v/>
      </c>
    </row>
    <row r="556">
      <c r="A556" s="7" t="inlineStr">
        <is>
          <t>Simulado 01</t>
        </is>
      </c>
      <c r="B556" s="8" t="n">
        <v>30</v>
      </c>
      <c r="C556" s="8" t="inlineStr">
        <is>
          <t>6ª Fase</t>
        </is>
      </c>
      <c r="D556" s="8" t="inlineStr">
        <is>
          <t>C</t>
        </is>
      </c>
      <c r="E556" s="8" t="inlineStr">
        <is>
          <t>Sim</t>
        </is>
      </c>
      <c r="F556" s="8" t="n">
        <v>27</v>
      </c>
      <c r="G556" s="8" t="n">
        <v>21</v>
      </c>
      <c r="H556" s="9">
        <f>IF(F556=0,"",G556/F556)</f>
        <v/>
      </c>
    </row>
    <row r="557">
      <c r="A557" s="10" t="inlineStr">
        <is>
          <t>Simulado 01</t>
        </is>
      </c>
      <c r="B557" s="11" t="n">
        <v>30</v>
      </c>
      <c r="C557" s="11" t="inlineStr">
        <is>
          <t>6ª Fase</t>
        </is>
      </c>
      <c r="D557" s="11" t="inlineStr">
        <is>
          <t>D</t>
        </is>
      </c>
      <c r="E557" s="11" t="inlineStr">
        <is>
          <t>Não</t>
        </is>
      </c>
      <c r="F557" s="11" t="n">
        <v>27</v>
      </c>
      <c r="G557" s="11" t="n">
        <v>2</v>
      </c>
      <c r="H557" s="12">
        <f>IF(F557=0,"",G557/F557)</f>
        <v/>
      </c>
    </row>
    <row r="558">
      <c r="A558" s="7" t="inlineStr">
        <is>
          <t>Simulado 01</t>
        </is>
      </c>
      <c r="B558" s="8" t="n">
        <v>30</v>
      </c>
      <c r="C558" s="8" t="inlineStr">
        <is>
          <t>6ª Fase</t>
        </is>
      </c>
      <c r="D558" s="8" t="inlineStr">
        <is>
          <t>E</t>
        </is>
      </c>
      <c r="E558" s="8" t="inlineStr">
        <is>
          <t>Não</t>
        </is>
      </c>
      <c r="F558" s="8" t="n">
        <v>27</v>
      </c>
      <c r="G558" s="8" t="n">
        <v>0</v>
      </c>
      <c r="H558" s="9">
        <f>IF(F558=0,"",G558/F558)</f>
        <v/>
      </c>
    </row>
    <row r="559">
      <c r="A559" s="10" t="inlineStr">
        <is>
          <t>Simulado 01</t>
        </is>
      </c>
      <c r="B559" s="11" t="n">
        <v>30</v>
      </c>
      <c r="C559" s="11" t="inlineStr">
        <is>
          <t>7ª Fase</t>
        </is>
      </c>
      <c r="D559" s="11" t="inlineStr">
        <is>
          <t>A</t>
        </is>
      </c>
      <c r="E559" s="11" t="inlineStr">
        <is>
          <t>Não</t>
        </is>
      </c>
      <c r="F559" s="11" t="n">
        <v>33</v>
      </c>
      <c r="G559" s="11" t="n">
        <v>1</v>
      </c>
      <c r="H559" s="12">
        <f>IF(F559=0,"",G559/F559)</f>
        <v/>
      </c>
    </row>
    <row r="560">
      <c r="A560" s="7" t="inlineStr">
        <is>
          <t>Simulado 01</t>
        </is>
      </c>
      <c r="B560" s="8" t="n">
        <v>30</v>
      </c>
      <c r="C560" s="8" t="inlineStr">
        <is>
          <t>7ª Fase</t>
        </is>
      </c>
      <c r="D560" s="8" t="inlineStr">
        <is>
          <t>B</t>
        </is>
      </c>
      <c r="E560" s="8" t="inlineStr">
        <is>
          <t>Não</t>
        </is>
      </c>
      <c r="F560" s="8" t="n">
        <v>33</v>
      </c>
      <c r="G560" s="8" t="n">
        <v>9</v>
      </c>
      <c r="H560" s="9">
        <f>IF(F560=0,"",G560/F560)</f>
        <v/>
      </c>
    </row>
    <row r="561">
      <c r="A561" s="10" t="inlineStr">
        <is>
          <t>Simulado 01</t>
        </is>
      </c>
      <c r="B561" s="11" t="n">
        <v>30</v>
      </c>
      <c r="C561" s="11" t="inlineStr">
        <is>
          <t>7ª Fase</t>
        </is>
      </c>
      <c r="D561" s="11" t="inlineStr">
        <is>
          <t>C</t>
        </is>
      </c>
      <c r="E561" s="11" t="inlineStr">
        <is>
          <t>Sim</t>
        </is>
      </c>
      <c r="F561" s="11" t="n">
        <v>33</v>
      </c>
      <c r="G561" s="11" t="n">
        <v>23</v>
      </c>
      <c r="H561" s="12">
        <f>IF(F561=0,"",G561/F561)</f>
        <v/>
      </c>
    </row>
    <row r="562">
      <c r="A562" s="7" t="inlineStr">
        <is>
          <t>Simulado 01</t>
        </is>
      </c>
      <c r="B562" s="8" t="n">
        <v>30</v>
      </c>
      <c r="C562" s="8" t="inlineStr">
        <is>
          <t>7ª Fase</t>
        </is>
      </c>
      <c r="D562" s="8" t="inlineStr">
        <is>
          <t>D</t>
        </is>
      </c>
      <c r="E562" s="8" t="inlineStr">
        <is>
          <t>Não</t>
        </is>
      </c>
      <c r="F562" s="8" t="n">
        <v>33</v>
      </c>
      <c r="G562" s="8" t="n">
        <v>0</v>
      </c>
      <c r="H562" s="9">
        <f>IF(F562=0,"",G562/F562)</f>
        <v/>
      </c>
    </row>
    <row r="563">
      <c r="A563" s="10" t="inlineStr">
        <is>
          <t>Simulado 01</t>
        </is>
      </c>
      <c r="B563" s="11" t="n">
        <v>30</v>
      </c>
      <c r="C563" s="11" t="inlineStr">
        <is>
          <t>7ª Fase</t>
        </is>
      </c>
      <c r="D563" s="11" t="inlineStr">
        <is>
          <t>E</t>
        </is>
      </c>
      <c r="E563" s="11" t="inlineStr">
        <is>
          <t>Não</t>
        </is>
      </c>
      <c r="F563" s="11" t="n">
        <v>33</v>
      </c>
      <c r="G563" s="11" t="n">
        <v>0</v>
      </c>
      <c r="H563" s="12">
        <f>IF(F563=0,"",G563/F563)</f>
        <v/>
      </c>
    </row>
    <row r="564">
      <c r="A564" s="7" t="inlineStr">
        <is>
          <t>Simulado 01</t>
        </is>
      </c>
      <c r="B564" s="8" t="n">
        <v>30</v>
      </c>
      <c r="C564" s="8" t="inlineStr">
        <is>
          <t>10ª Fase</t>
        </is>
      </c>
      <c r="D564" s="8" t="inlineStr">
        <is>
          <t>A</t>
        </is>
      </c>
      <c r="E564" s="8" t="inlineStr">
        <is>
          <t>Não</t>
        </is>
      </c>
      <c r="F564" s="8" t="n">
        <v>31</v>
      </c>
      <c r="G564" s="8" t="n">
        <v>0</v>
      </c>
      <c r="H564" s="9">
        <f>IF(F564=0,"",G564/F564)</f>
        <v/>
      </c>
    </row>
    <row r="565">
      <c r="A565" s="10" t="inlineStr">
        <is>
          <t>Simulado 01</t>
        </is>
      </c>
      <c r="B565" s="11" t="n">
        <v>30</v>
      </c>
      <c r="C565" s="11" t="inlineStr">
        <is>
          <t>10ª Fase</t>
        </is>
      </c>
      <c r="D565" s="11" t="inlineStr">
        <is>
          <t>B</t>
        </is>
      </c>
      <c r="E565" s="11" t="inlineStr">
        <is>
          <t>Não</t>
        </is>
      </c>
      <c r="F565" s="11" t="n">
        <v>31</v>
      </c>
      <c r="G565" s="11" t="n">
        <v>3</v>
      </c>
      <c r="H565" s="12">
        <f>IF(F565=0,"",G565/F565)</f>
        <v/>
      </c>
    </row>
    <row r="566">
      <c r="A566" s="7" t="inlineStr">
        <is>
          <t>Simulado 01</t>
        </is>
      </c>
      <c r="B566" s="8" t="n">
        <v>30</v>
      </c>
      <c r="C566" s="8" t="inlineStr">
        <is>
          <t>10ª Fase</t>
        </is>
      </c>
      <c r="D566" s="8" t="inlineStr">
        <is>
          <t>C</t>
        </is>
      </c>
      <c r="E566" s="8" t="inlineStr">
        <is>
          <t>Sim</t>
        </is>
      </c>
      <c r="F566" s="8" t="n">
        <v>31</v>
      </c>
      <c r="G566" s="8" t="n">
        <v>25</v>
      </c>
      <c r="H566" s="9">
        <f>IF(F566=0,"",G566/F566)</f>
        <v/>
      </c>
    </row>
    <row r="567">
      <c r="A567" s="10" t="inlineStr">
        <is>
          <t>Simulado 01</t>
        </is>
      </c>
      <c r="B567" s="11" t="n">
        <v>30</v>
      </c>
      <c r="C567" s="11" t="inlineStr">
        <is>
          <t>10ª Fase</t>
        </is>
      </c>
      <c r="D567" s="11" t="inlineStr">
        <is>
          <t>D</t>
        </is>
      </c>
      <c r="E567" s="11" t="inlineStr">
        <is>
          <t>Não</t>
        </is>
      </c>
      <c r="F567" s="11" t="n">
        <v>31</v>
      </c>
      <c r="G567" s="11" t="n">
        <v>2</v>
      </c>
      <c r="H567" s="12">
        <f>IF(F567=0,"",G567/F567)</f>
        <v/>
      </c>
    </row>
    <row r="568">
      <c r="A568" s="7" t="inlineStr">
        <is>
          <t>Simulado 01</t>
        </is>
      </c>
      <c r="B568" s="8" t="n">
        <v>30</v>
      </c>
      <c r="C568" s="8" t="inlineStr">
        <is>
          <t>10ª Fase</t>
        </is>
      </c>
      <c r="D568" s="8" t="inlineStr">
        <is>
          <t>E</t>
        </is>
      </c>
      <c r="E568" s="8" t="inlineStr">
        <is>
          <t>Não</t>
        </is>
      </c>
      <c r="F568" s="8" t="n">
        <v>31</v>
      </c>
      <c r="G568" s="8" t="n">
        <v>1</v>
      </c>
      <c r="H568" s="9">
        <f>IF(F568=0,"",G568/F568)</f>
        <v/>
      </c>
    </row>
    <row r="569">
      <c r="A569" s="10" t="inlineStr">
        <is>
          <t>Simulado 01</t>
        </is>
      </c>
      <c r="B569" s="11" t="n">
        <v>30</v>
      </c>
      <c r="C569" s="11" t="inlineStr">
        <is>
          <t>11ª Fase</t>
        </is>
      </c>
      <c r="D569" s="11" t="inlineStr">
        <is>
          <t>A</t>
        </is>
      </c>
      <c r="E569" s="11" t="inlineStr">
        <is>
          <t>Não</t>
        </is>
      </c>
      <c r="F569" s="11" t="n">
        <v>27</v>
      </c>
      <c r="G569" s="11" t="n">
        <v>1</v>
      </c>
      <c r="H569" s="12">
        <f>IF(F569=0,"",G569/F569)</f>
        <v/>
      </c>
    </row>
    <row r="570">
      <c r="A570" s="7" t="inlineStr">
        <is>
          <t>Simulado 01</t>
        </is>
      </c>
      <c r="B570" s="8" t="n">
        <v>30</v>
      </c>
      <c r="C570" s="8" t="inlineStr">
        <is>
          <t>11ª Fase</t>
        </is>
      </c>
      <c r="D570" s="8" t="inlineStr">
        <is>
          <t>B</t>
        </is>
      </c>
      <c r="E570" s="8" t="inlineStr">
        <is>
          <t>Não</t>
        </is>
      </c>
      <c r="F570" s="8" t="n">
        <v>27</v>
      </c>
      <c r="G570" s="8" t="n">
        <v>0</v>
      </c>
      <c r="H570" s="9">
        <f>IF(F570=0,"",G570/F570)</f>
        <v/>
      </c>
    </row>
    <row r="571">
      <c r="A571" s="10" t="inlineStr">
        <is>
          <t>Simulado 01</t>
        </is>
      </c>
      <c r="B571" s="11" t="n">
        <v>30</v>
      </c>
      <c r="C571" s="11" t="inlineStr">
        <is>
          <t>11ª Fase</t>
        </is>
      </c>
      <c r="D571" s="11" t="inlineStr">
        <is>
          <t>C</t>
        </is>
      </c>
      <c r="E571" s="11" t="inlineStr">
        <is>
          <t>Sim</t>
        </is>
      </c>
      <c r="F571" s="11" t="n">
        <v>27</v>
      </c>
      <c r="G571" s="11" t="n">
        <v>24</v>
      </c>
      <c r="H571" s="12">
        <f>IF(F571=0,"",G571/F571)</f>
        <v/>
      </c>
    </row>
    <row r="572">
      <c r="A572" s="7" t="inlineStr">
        <is>
          <t>Simulado 01</t>
        </is>
      </c>
      <c r="B572" s="8" t="n">
        <v>30</v>
      </c>
      <c r="C572" s="8" t="inlineStr">
        <is>
          <t>11ª Fase</t>
        </is>
      </c>
      <c r="D572" s="8" t="inlineStr">
        <is>
          <t>D</t>
        </is>
      </c>
      <c r="E572" s="8" t="inlineStr">
        <is>
          <t>Não</t>
        </is>
      </c>
      <c r="F572" s="8" t="n">
        <v>27</v>
      </c>
      <c r="G572" s="8" t="n">
        <v>2</v>
      </c>
      <c r="H572" s="9">
        <f>IF(F572=0,"",G572/F572)</f>
        <v/>
      </c>
    </row>
    <row r="573">
      <c r="A573" s="10" t="inlineStr">
        <is>
          <t>Simulado 01</t>
        </is>
      </c>
      <c r="B573" s="11" t="n">
        <v>30</v>
      </c>
      <c r="C573" s="11" t="inlineStr">
        <is>
          <t>11ª Fase</t>
        </is>
      </c>
      <c r="D573" s="11" t="inlineStr">
        <is>
          <t>E</t>
        </is>
      </c>
      <c r="E573" s="11" t="inlineStr">
        <is>
          <t>Não</t>
        </is>
      </c>
      <c r="F573" s="11" t="n">
        <v>27</v>
      </c>
      <c r="G573" s="11" t="n">
        <v>0</v>
      </c>
      <c r="H573" s="12">
        <f>IF(F573=0,"",G573/F573)</f>
        <v/>
      </c>
    </row>
    <row r="574">
      <c r="A574" s="7" t="inlineStr">
        <is>
          <t>Simulado 01</t>
        </is>
      </c>
      <c r="B574" s="8" t="n">
        <v>31</v>
      </c>
      <c r="C574" s="8" t="inlineStr">
        <is>
          <t>6ª Fase</t>
        </is>
      </c>
      <c r="D574" s="8" t="inlineStr">
        <is>
          <t>A</t>
        </is>
      </c>
      <c r="E574" s="8" t="inlineStr">
        <is>
          <t>Sim</t>
        </is>
      </c>
      <c r="F574" s="8" t="n">
        <v>27</v>
      </c>
      <c r="G574" s="8" t="n">
        <v>19</v>
      </c>
      <c r="H574" s="9">
        <f>IF(F574=0,"",G574/F574)</f>
        <v/>
      </c>
    </row>
    <row r="575">
      <c r="A575" s="10" t="inlineStr">
        <is>
          <t>Simulado 01</t>
        </is>
      </c>
      <c r="B575" s="11" t="n">
        <v>31</v>
      </c>
      <c r="C575" s="11" t="inlineStr">
        <is>
          <t>6ª Fase</t>
        </is>
      </c>
      <c r="D575" s="11" t="inlineStr">
        <is>
          <t>B</t>
        </is>
      </c>
      <c r="E575" s="11" t="inlineStr">
        <is>
          <t>Não</t>
        </is>
      </c>
      <c r="F575" s="11" t="n">
        <v>27</v>
      </c>
      <c r="G575" s="11" t="n">
        <v>1</v>
      </c>
      <c r="H575" s="12">
        <f>IF(F575=0,"",G575/F575)</f>
        <v/>
      </c>
    </row>
    <row r="576">
      <c r="A576" s="7" t="inlineStr">
        <is>
          <t>Simulado 01</t>
        </is>
      </c>
      <c r="B576" s="8" t="n">
        <v>31</v>
      </c>
      <c r="C576" s="8" t="inlineStr">
        <is>
          <t>6ª Fase</t>
        </is>
      </c>
      <c r="D576" s="8" t="inlineStr">
        <is>
          <t>C</t>
        </is>
      </c>
      <c r="E576" s="8" t="inlineStr">
        <is>
          <t>Não</t>
        </is>
      </c>
      <c r="F576" s="8" t="n">
        <v>27</v>
      </c>
      <c r="G576" s="8" t="n">
        <v>0</v>
      </c>
      <c r="H576" s="9">
        <f>IF(F576=0,"",G576/F576)</f>
        <v/>
      </c>
    </row>
    <row r="577">
      <c r="A577" s="10" t="inlineStr">
        <is>
          <t>Simulado 01</t>
        </is>
      </c>
      <c r="B577" s="11" t="n">
        <v>31</v>
      </c>
      <c r="C577" s="11" t="inlineStr">
        <is>
          <t>6ª Fase</t>
        </is>
      </c>
      <c r="D577" s="11" t="inlineStr">
        <is>
          <t>D</t>
        </is>
      </c>
      <c r="E577" s="11" t="inlineStr">
        <is>
          <t>Não</t>
        </is>
      </c>
      <c r="F577" s="11" t="n">
        <v>27</v>
      </c>
      <c r="G577" s="11" t="n">
        <v>4</v>
      </c>
      <c r="H577" s="12">
        <f>IF(F577=0,"",G577/F577)</f>
        <v/>
      </c>
    </row>
    <row r="578">
      <c r="A578" s="7" t="inlineStr">
        <is>
          <t>Simulado 01</t>
        </is>
      </c>
      <c r="B578" s="8" t="n">
        <v>31</v>
      </c>
      <c r="C578" s="8" t="inlineStr">
        <is>
          <t>6ª Fase</t>
        </is>
      </c>
      <c r="D578" s="8" t="inlineStr">
        <is>
          <t>E</t>
        </is>
      </c>
      <c r="E578" s="8" t="inlineStr">
        <is>
          <t>Não</t>
        </is>
      </c>
      <c r="F578" s="8" t="n">
        <v>27</v>
      </c>
      <c r="G578" s="8" t="n">
        <v>3</v>
      </c>
      <c r="H578" s="9">
        <f>IF(F578=0,"",G578/F578)</f>
        <v/>
      </c>
    </row>
    <row r="579">
      <c r="A579" s="10" t="inlineStr">
        <is>
          <t>Simulado 01</t>
        </is>
      </c>
      <c r="B579" s="11" t="n">
        <v>31</v>
      </c>
      <c r="C579" s="11" t="inlineStr">
        <is>
          <t>7ª Fase</t>
        </is>
      </c>
      <c r="D579" s="11" t="inlineStr">
        <is>
          <t>A</t>
        </is>
      </c>
      <c r="E579" s="11" t="inlineStr">
        <is>
          <t>Sim</t>
        </is>
      </c>
      <c r="F579" s="11" t="n">
        <v>33</v>
      </c>
      <c r="G579" s="11" t="n">
        <v>22</v>
      </c>
      <c r="H579" s="12">
        <f>IF(F579=0,"",G579/F579)</f>
        <v/>
      </c>
    </row>
    <row r="580">
      <c r="A580" s="7" t="inlineStr">
        <is>
          <t>Simulado 01</t>
        </is>
      </c>
      <c r="B580" s="8" t="n">
        <v>31</v>
      </c>
      <c r="C580" s="8" t="inlineStr">
        <is>
          <t>7ª Fase</t>
        </is>
      </c>
      <c r="D580" s="8" t="inlineStr">
        <is>
          <t>B</t>
        </is>
      </c>
      <c r="E580" s="8" t="inlineStr">
        <is>
          <t>Não</t>
        </is>
      </c>
      <c r="F580" s="8" t="n">
        <v>33</v>
      </c>
      <c r="G580" s="8" t="n">
        <v>0</v>
      </c>
      <c r="H580" s="9">
        <f>IF(F580=0,"",G580/F580)</f>
        <v/>
      </c>
    </row>
    <row r="581">
      <c r="A581" s="10" t="inlineStr">
        <is>
          <t>Simulado 01</t>
        </is>
      </c>
      <c r="B581" s="11" t="n">
        <v>31</v>
      </c>
      <c r="C581" s="11" t="inlineStr">
        <is>
          <t>7ª Fase</t>
        </is>
      </c>
      <c r="D581" s="11" t="inlineStr">
        <is>
          <t>C</t>
        </is>
      </c>
      <c r="E581" s="11" t="inlineStr">
        <is>
          <t>Não</t>
        </is>
      </c>
      <c r="F581" s="11" t="n">
        <v>33</v>
      </c>
      <c r="G581" s="11" t="n">
        <v>0</v>
      </c>
      <c r="H581" s="12">
        <f>IF(F581=0,"",G581/F581)</f>
        <v/>
      </c>
    </row>
    <row r="582">
      <c r="A582" s="7" t="inlineStr">
        <is>
          <t>Simulado 01</t>
        </is>
      </c>
      <c r="B582" s="8" t="n">
        <v>31</v>
      </c>
      <c r="C582" s="8" t="inlineStr">
        <is>
          <t>7ª Fase</t>
        </is>
      </c>
      <c r="D582" s="8" t="inlineStr">
        <is>
          <t>D</t>
        </is>
      </c>
      <c r="E582" s="8" t="inlineStr">
        <is>
          <t>Não</t>
        </is>
      </c>
      <c r="F582" s="8" t="n">
        <v>33</v>
      </c>
      <c r="G582" s="8" t="n">
        <v>7</v>
      </c>
      <c r="H582" s="9">
        <f>IF(F582=0,"",G582/F582)</f>
        <v/>
      </c>
    </row>
    <row r="583">
      <c r="A583" s="10" t="inlineStr">
        <is>
          <t>Simulado 01</t>
        </is>
      </c>
      <c r="B583" s="11" t="n">
        <v>31</v>
      </c>
      <c r="C583" s="11" t="inlineStr">
        <is>
          <t>7ª Fase</t>
        </is>
      </c>
      <c r="D583" s="11" t="inlineStr">
        <is>
          <t>E</t>
        </is>
      </c>
      <c r="E583" s="11" t="inlineStr">
        <is>
          <t>Não</t>
        </is>
      </c>
      <c r="F583" s="11" t="n">
        <v>33</v>
      </c>
      <c r="G583" s="11" t="n">
        <v>4</v>
      </c>
      <c r="H583" s="12">
        <f>IF(F583=0,"",G583/F583)</f>
        <v/>
      </c>
    </row>
    <row r="584">
      <c r="A584" s="7" t="inlineStr">
        <is>
          <t>Simulado 01</t>
        </is>
      </c>
      <c r="B584" s="8" t="n">
        <v>31</v>
      </c>
      <c r="C584" s="8" t="inlineStr">
        <is>
          <t>10ª Fase</t>
        </is>
      </c>
      <c r="D584" s="8" t="inlineStr">
        <is>
          <t>A</t>
        </is>
      </c>
      <c r="E584" s="8" t="inlineStr">
        <is>
          <t>Sim</t>
        </is>
      </c>
      <c r="F584" s="8" t="n">
        <v>31</v>
      </c>
      <c r="G584" s="8" t="n">
        <v>20</v>
      </c>
      <c r="H584" s="9">
        <f>IF(F584=0,"",G584/F584)</f>
        <v/>
      </c>
    </row>
    <row r="585">
      <c r="A585" s="10" t="inlineStr">
        <is>
          <t>Simulado 01</t>
        </is>
      </c>
      <c r="B585" s="11" t="n">
        <v>31</v>
      </c>
      <c r="C585" s="11" t="inlineStr">
        <is>
          <t>10ª Fase</t>
        </is>
      </c>
      <c r="D585" s="11" t="inlineStr">
        <is>
          <t>B</t>
        </is>
      </c>
      <c r="E585" s="11" t="inlineStr">
        <is>
          <t>Não</t>
        </is>
      </c>
      <c r="F585" s="11" t="n">
        <v>31</v>
      </c>
      <c r="G585" s="11" t="n">
        <v>0</v>
      </c>
      <c r="H585" s="12">
        <f>IF(F585=0,"",G585/F585)</f>
        <v/>
      </c>
    </row>
    <row r="586">
      <c r="A586" s="7" t="inlineStr">
        <is>
          <t>Simulado 01</t>
        </is>
      </c>
      <c r="B586" s="8" t="n">
        <v>31</v>
      </c>
      <c r="C586" s="8" t="inlineStr">
        <is>
          <t>10ª Fase</t>
        </is>
      </c>
      <c r="D586" s="8" t="inlineStr">
        <is>
          <t>C</t>
        </is>
      </c>
      <c r="E586" s="8" t="inlineStr">
        <is>
          <t>Não</t>
        </is>
      </c>
      <c r="F586" s="8" t="n">
        <v>31</v>
      </c>
      <c r="G586" s="8" t="n">
        <v>0</v>
      </c>
      <c r="H586" s="9">
        <f>IF(F586=0,"",G586/F586)</f>
        <v/>
      </c>
    </row>
    <row r="587">
      <c r="A587" s="10" t="inlineStr">
        <is>
          <t>Simulado 01</t>
        </is>
      </c>
      <c r="B587" s="11" t="n">
        <v>31</v>
      </c>
      <c r="C587" s="11" t="inlineStr">
        <is>
          <t>10ª Fase</t>
        </is>
      </c>
      <c r="D587" s="11" t="inlineStr">
        <is>
          <t>D</t>
        </is>
      </c>
      <c r="E587" s="11" t="inlineStr">
        <is>
          <t>Não</t>
        </is>
      </c>
      <c r="F587" s="11" t="n">
        <v>31</v>
      </c>
      <c r="G587" s="11" t="n">
        <v>6</v>
      </c>
      <c r="H587" s="12">
        <f>IF(F587=0,"",G587/F587)</f>
        <v/>
      </c>
    </row>
    <row r="588">
      <c r="A588" s="7" t="inlineStr">
        <is>
          <t>Simulado 01</t>
        </is>
      </c>
      <c r="B588" s="8" t="n">
        <v>31</v>
      </c>
      <c r="C588" s="8" t="inlineStr">
        <is>
          <t>10ª Fase</t>
        </is>
      </c>
      <c r="D588" s="8" t="inlineStr">
        <is>
          <t>E</t>
        </is>
      </c>
      <c r="E588" s="8" t="inlineStr">
        <is>
          <t>Não</t>
        </is>
      </c>
      <c r="F588" s="8" t="n">
        <v>31</v>
      </c>
      <c r="G588" s="8" t="n">
        <v>5</v>
      </c>
      <c r="H588" s="9">
        <f>IF(F588=0,"",G588/F588)</f>
        <v/>
      </c>
    </row>
    <row r="589">
      <c r="A589" s="10" t="inlineStr">
        <is>
          <t>Simulado 01</t>
        </is>
      </c>
      <c r="B589" s="11" t="n">
        <v>31</v>
      </c>
      <c r="C589" s="11" t="inlineStr">
        <is>
          <t>11ª Fase</t>
        </is>
      </c>
      <c r="D589" s="11" t="inlineStr">
        <is>
          <t>A</t>
        </is>
      </c>
      <c r="E589" s="11" t="inlineStr">
        <is>
          <t>Sim</t>
        </is>
      </c>
      <c r="F589" s="11" t="n">
        <v>27</v>
      </c>
      <c r="G589" s="11" t="n">
        <v>24</v>
      </c>
      <c r="H589" s="12">
        <f>IF(F589=0,"",G589/F589)</f>
        <v/>
      </c>
    </row>
    <row r="590">
      <c r="A590" s="7" t="inlineStr">
        <is>
          <t>Simulado 01</t>
        </is>
      </c>
      <c r="B590" s="8" t="n">
        <v>31</v>
      </c>
      <c r="C590" s="8" t="inlineStr">
        <is>
          <t>11ª Fase</t>
        </is>
      </c>
      <c r="D590" s="8" t="inlineStr">
        <is>
          <t>B</t>
        </is>
      </c>
      <c r="E590" s="8" t="inlineStr">
        <is>
          <t>Não</t>
        </is>
      </c>
      <c r="F590" s="8" t="n">
        <v>27</v>
      </c>
      <c r="G590" s="8" t="n">
        <v>0</v>
      </c>
      <c r="H590" s="9">
        <f>IF(F590=0,"",G590/F590)</f>
        <v/>
      </c>
    </row>
    <row r="591">
      <c r="A591" s="10" t="inlineStr">
        <is>
          <t>Simulado 01</t>
        </is>
      </c>
      <c r="B591" s="11" t="n">
        <v>31</v>
      </c>
      <c r="C591" s="11" t="inlineStr">
        <is>
          <t>11ª Fase</t>
        </is>
      </c>
      <c r="D591" s="11" t="inlineStr">
        <is>
          <t>C</t>
        </is>
      </c>
      <c r="E591" s="11" t="inlineStr">
        <is>
          <t>Não</t>
        </is>
      </c>
      <c r="F591" s="11" t="n">
        <v>27</v>
      </c>
      <c r="G591" s="11" t="n">
        <v>0</v>
      </c>
      <c r="H591" s="12">
        <f>IF(F591=0,"",G591/F591)</f>
        <v/>
      </c>
    </row>
    <row r="592">
      <c r="A592" s="7" t="inlineStr">
        <is>
          <t>Simulado 01</t>
        </is>
      </c>
      <c r="B592" s="8" t="n">
        <v>31</v>
      </c>
      <c r="C592" s="8" t="inlineStr">
        <is>
          <t>11ª Fase</t>
        </is>
      </c>
      <c r="D592" s="8" t="inlineStr">
        <is>
          <t>D</t>
        </is>
      </c>
      <c r="E592" s="8" t="inlineStr">
        <is>
          <t>Não</t>
        </is>
      </c>
      <c r="F592" s="8" t="n">
        <v>27</v>
      </c>
      <c r="G592" s="8" t="n">
        <v>1</v>
      </c>
      <c r="H592" s="9">
        <f>IF(F592=0,"",G592/F592)</f>
        <v/>
      </c>
    </row>
    <row r="593">
      <c r="A593" s="10" t="inlineStr">
        <is>
          <t>Simulado 01</t>
        </is>
      </c>
      <c r="B593" s="11" t="n">
        <v>31</v>
      </c>
      <c r="C593" s="11" t="inlineStr">
        <is>
          <t>11ª Fase</t>
        </is>
      </c>
      <c r="D593" s="11" t="inlineStr">
        <is>
          <t>E</t>
        </is>
      </c>
      <c r="E593" s="11" t="inlineStr">
        <is>
          <t>Não</t>
        </is>
      </c>
      <c r="F593" s="11" t="n">
        <v>27</v>
      </c>
      <c r="G593" s="11" t="n">
        <v>2</v>
      </c>
      <c r="H593" s="12">
        <f>IF(F593=0,"",G593/F593)</f>
        <v/>
      </c>
    </row>
    <row r="594">
      <c r="A594" s="7" t="inlineStr">
        <is>
          <t>Simulado 01</t>
        </is>
      </c>
      <c r="B594" s="8" t="n">
        <v>32</v>
      </c>
      <c r="C594" s="8" t="inlineStr">
        <is>
          <t>6ª Fase</t>
        </is>
      </c>
      <c r="D594" s="8" t="inlineStr">
        <is>
          <t>A</t>
        </is>
      </c>
      <c r="E594" s="8" t="inlineStr">
        <is>
          <t>Sim</t>
        </is>
      </c>
      <c r="F594" s="8" t="n">
        <v>27</v>
      </c>
      <c r="G594" s="8" t="n">
        <v>16</v>
      </c>
      <c r="H594" s="9">
        <f>IF(F594=0,"",G594/F594)</f>
        <v/>
      </c>
    </row>
    <row r="595">
      <c r="A595" s="10" t="inlineStr">
        <is>
          <t>Simulado 01</t>
        </is>
      </c>
      <c r="B595" s="11" t="n">
        <v>32</v>
      </c>
      <c r="C595" s="11" t="inlineStr">
        <is>
          <t>6ª Fase</t>
        </is>
      </c>
      <c r="D595" s="11" t="inlineStr">
        <is>
          <t>B</t>
        </is>
      </c>
      <c r="E595" s="11" t="inlineStr">
        <is>
          <t>Não</t>
        </is>
      </c>
      <c r="F595" s="11" t="n">
        <v>27</v>
      </c>
      <c r="G595" s="11" t="n">
        <v>7</v>
      </c>
      <c r="H595" s="12">
        <f>IF(F595=0,"",G595/F595)</f>
        <v/>
      </c>
    </row>
    <row r="596">
      <c r="A596" s="7" t="inlineStr">
        <is>
          <t>Simulado 01</t>
        </is>
      </c>
      <c r="B596" s="8" t="n">
        <v>32</v>
      </c>
      <c r="C596" s="8" t="inlineStr">
        <is>
          <t>6ª Fase</t>
        </is>
      </c>
      <c r="D596" s="8" t="inlineStr">
        <is>
          <t>C</t>
        </is>
      </c>
      <c r="E596" s="8" t="inlineStr">
        <is>
          <t>Não</t>
        </is>
      </c>
      <c r="F596" s="8" t="n">
        <v>27</v>
      </c>
      <c r="G596" s="8" t="n">
        <v>1</v>
      </c>
      <c r="H596" s="9">
        <f>IF(F596=0,"",G596/F596)</f>
        <v/>
      </c>
    </row>
    <row r="597">
      <c r="A597" s="10" t="inlineStr">
        <is>
          <t>Simulado 01</t>
        </is>
      </c>
      <c r="B597" s="11" t="n">
        <v>32</v>
      </c>
      <c r="C597" s="11" t="inlineStr">
        <is>
          <t>6ª Fase</t>
        </is>
      </c>
      <c r="D597" s="11" t="inlineStr">
        <is>
          <t>D</t>
        </is>
      </c>
      <c r="E597" s="11" t="inlineStr">
        <is>
          <t>Não</t>
        </is>
      </c>
      <c r="F597" s="11" t="n">
        <v>27</v>
      </c>
      <c r="G597" s="11" t="n">
        <v>1</v>
      </c>
      <c r="H597" s="12">
        <f>IF(F597=0,"",G597/F597)</f>
        <v/>
      </c>
    </row>
    <row r="598">
      <c r="A598" s="7" t="inlineStr">
        <is>
          <t>Simulado 01</t>
        </is>
      </c>
      <c r="B598" s="8" t="n">
        <v>32</v>
      </c>
      <c r="C598" s="8" t="inlineStr">
        <is>
          <t>6ª Fase</t>
        </is>
      </c>
      <c r="D598" s="8" t="inlineStr">
        <is>
          <t>E</t>
        </is>
      </c>
      <c r="E598" s="8" t="inlineStr">
        <is>
          <t>Não</t>
        </is>
      </c>
      <c r="F598" s="8" t="n">
        <v>27</v>
      </c>
      <c r="G598" s="8" t="n">
        <v>2</v>
      </c>
      <c r="H598" s="9">
        <f>IF(F598=0,"",G598/F598)</f>
        <v/>
      </c>
    </row>
    <row r="599">
      <c r="A599" s="10" t="inlineStr">
        <is>
          <t>Simulado 01</t>
        </is>
      </c>
      <c r="B599" s="11" t="n">
        <v>32</v>
      </c>
      <c r="C599" s="11" t="inlineStr">
        <is>
          <t>7ª Fase</t>
        </is>
      </c>
      <c r="D599" s="11" t="inlineStr">
        <is>
          <t>A</t>
        </is>
      </c>
      <c r="E599" s="11" t="inlineStr">
        <is>
          <t>Sim</t>
        </is>
      </c>
      <c r="F599" s="11" t="n">
        <v>33</v>
      </c>
      <c r="G599" s="11" t="n">
        <v>21</v>
      </c>
      <c r="H599" s="12">
        <f>IF(F599=0,"",G599/F599)</f>
        <v/>
      </c>
    </row>
    <row r="600">
      <c r="A600" s="7" t="inlineStr">
        <is>
          <t>Simulado 01</t>
        </is>
      </c>
      <c r="B600" s="8" t="n">
        <v>32</v>
      </c>
      <c r="C600" s="8" t="inlineStr">
        <is>
          <t>7ª Fase</t>
        </is>
      </c>
      <c r="D600" s="8" t="inlineStr">
        <is>
          <t>B</t>
        </is>
      </c>
      <c r="E600" s="8" t="inlineStr">
        <is>
          <t>Não</t>
        </is>
      </c>
      <c r="F600" s="8" t="n">
        <v>33</v>
      </c>
      <c r="G600" s="8" t="n">
        <v>4</v>
      </c>
      <c r="H600" s="9">
        <f>IF(F600=0,"",G600/F600)</f>
        <v/>
      </c>
    </row>
    <row r="601">
      <c r="A601" s="10" t="inlineStr">
        <is>
          <t>Simulado 01</t>
        </is>
      </c>
      <c r="B601" s="11" t="n">
        <v>32</v>
      </c>
      <c r="C601" s="11" t="inlineStr">
        <is>
          <t>7ª Fase</t>
        </is>
      </c>
      <c r="D601" s="11" t="inlineStr">
        <is>
          <t>C</t>
        </is>
      </c>
      <c r="E601" s="11" t="inlineStr">
        <is>
          <t>Não</t>
        </is>
      </c>
      <c r="F601" s="11" t="n">
        <v>33</v>
      </c>
      <c r="G601" s="11" t="n">
        <v>6</v>
      </c>
      <c r="H601" s="12">
        <f>IF(F601=0,"",G601/F601)</f>
        <v/>
      </c>
    </row>
    <row r="602">
      <c r="A602" s="7" t="inlineStr">
        <is>
          <t>Simulado 01</t>
        </is>
      </c>
      <c r="B602" s="8" t="n">
        <v>32</v>
      </c>
      <c r="C602" s="8" t="inlineStr">
        <is>
          <t>7ª Fase</t>
        </is>
      </c>
      <c r="D602" s="8" t="inlineStr">
        <is>
          <t>D</t>
        </is>
      </c>
      <c r="E602" s="8" t="inlineStr">
        <is>
          <t>Não</t>
        </is>
      </c>
      <c r="F602" s="8" t="n">
        <v>33</v>
      </c>
      <c r="G602" s="8" t="n">
        <v>1</v>
      </c>
      <c r="H602" s="9">
        <f>IF(F602=0,"",G602/F602)</f>
        <v/>
      </c>
    </row>
    <row r="603">
      <c r="A603" s="10" t="inlineStr">
        <is>
          <t>Simulado 01</t>
        </is>
      </c>
      <c r="B603" s="11" t="n">
        <v>32</v>
      </c>
      <c r="C603" s="11" t="inlineStr">
        <is>
          <t>7ª Fase</t>
        </is>
      </c>
      <c r="D603" s="11" t="inlineStr">
        <is>
          <t>E</t>
        </is>
      </c>
      <c r="E603" s="11" t="inlineStr">
        <is>
          <t>Não</t>
        </is>
      </c>
      <c r="F603" s="11" t="n">
        <v>33</v>
      </c>
      <c r="G603" s="11" t="n">
        <v>1</v>
      </c>
      <c r="H603" s="12">
        <f>IF(F603=0,"",G603/F603)</f>
        <v/>
      </c>
    </row>
    <row r="604">
      <c r="A604" s="7" t="inlineStr">
        <is>
          <t>Simulado 01</t>
        </is>
      </c>
      <c r="B604" s="8" t="n">
        <v>32</v>
      </c>
      <c r="C604" s="8" t="inlineStr">
        <is>
          <t>10ª Fase</t>
        </is>
      </c>
      <c r="D604" s="8" t="inlineStr">
        <is>
          <t>A</t>
        </is>
      </c>
      <c r="E604" s="8" t="inlineStr">
        <is>
          <t>Sim</t>
        </is>
      </c>
      <c r="F604" s="8" t="n">
        <v>31</v>
      </c>
      <c r="G604" s="8" t="n">
        <v>17</v>
      </c>
      <c r="H604" s="9">
        <f>IF(F604=0,"",G604/F604)</f>
        <v/>
      </c>
    </row>
    <row r="605">
      <c r="A605" s="10" t="inlineStr">
        <is>
          <t>Simulado 01</t>
        </is>
      </c>
      <c r="B605" s="11" t="n">
        <v>32</v>
      </c>
      <c r="C605" s="11" t="inlineStr">
        <is>
          <t>10ª Fase</t>
        </is>
      </c>
      <c r="D605" s="11" t="inlineStr">
        <is>
          <t>B</t>
        </is>
      </c>
      <c r="E605" s="11" t="inlineStr">
        <is>
          <t>Não</t>
        </is>
      </c>
      <c r="F605" s="11" t="n">
        <v>31</v>
      </c>
      <c r="G605" s="11" t="n">
        <v>11</v>
      </c>
      <c r="H605" s="12">
        <f>IF(F605=0,"",G605/F605)</f>
        <v/>
      </c>
    </row>
    <row r="606">
      <c r="A606" s="7" t="inlineStr">
        <is>
          <t>Simulado 01</t>
        </is>
      </c>
      <c r="B606" s="8" t="n">
        <v>32</v>
      </c>
      <c r="C606" s="8" t="inlineStr">
        <is>
          <t>10ª Fase</t>
        </is>
      </c>
      <c r="D606" s="8" t="inlineStr">
        <is>
          <t>C</t>
        </is>
      </c>
      <c r="E606" s="8" t="inlineStr">
        <is>
          <t>Não</t>
        </is>
      </c>
      <c r="F606" s="8" t="n">
        <v>31</v>
      </c>
      <c r="G606" s="8" t="n">
        <v>2</v>
      </c>
      <c r="H606" s="9">
        <f>IF(F606=0,"",G606/F606)</f>
        <v/>
      </c>
    </row>
    <row r="607">
      <c r="A607" s="10" t="inlineStr">
        <is>
          <t>Simulado 01</t>
        </is>
      </c>
      <c r="B607" s="11" t="n">
        <v>32</v>
      </c>
      <c r="C607" s="11" t="inlineStr">
        <is>
          <t>10ª Fase</t>
        </is>
      </c>
      <c r="D607" s="11" t="inlineStr">
        <is>
          <t>D</t>
        </is>
      </c>
      <c r="E607" s="11" t="inlineStr">
        <is>
          <t>Não</t>
        </is>
      </c>
      <c r="F607" s="11" t="n">
        <v>31</v>
      </c>
      <c r="G607" s="11" t="n">
        <v>1</v>
      </c>
      <c r="H607" s="12">
        <f>IF(F607=0,"",G607/F607)</f>
        <v/>
      </c>
    </row>
    <row r="608">
      <c r="A608" s="7" t="inlineStr">
        <is>
          <t>Simulado 01</t>
        </is>
      </c>
      <c r="B608" s="8" t="n">
        <v>32</v>
      </c>
      <c r="C608" s="8" t="inlineStr">
        <is>
          <t>10ª Fase</t>
        </is>
      </c>
      <c r="D608" s="8" t="inlineStr">
        <is>
          <t>E</t>
        </is>
      </c>
      <c r="E608" s="8" t="inlineStr">
        <is>
          <t>Não</t>
        </is>
      </c>
      <c r="F608" s="8" t="n">
        <v>31</v>
      </c>
      <c r="G608" s="8" t="n">
        <v>0</v>
      </c>
      <c r="H608" s="9">
        <f>IF(F608=0,"",G608/F608)</f>
        <v/>
      </c>
    </row>
    <row r="609">
      <c r="A609" s="10" t="inlineStr">
        <is>
          <t>Simulado 01</t>
        </is>
      </c>
      <c r="B609" s="11" t="n">
        <v>32</v>
      </c>
      <c r="C609" s="11" t="inlineStr">
        <is>
          <t>11ª Fase</t>
        </is>
      </c>
      <c r="D609" s="11" t="inlineStr">
        <is>
          <t>A</t>
        </is>
      </c>
      <c r="E609" s="11" t="inlineStr">
        <is>
          <t>Sim</t>
        </is>
      </c>
      <c r="F609" s="11" t="n">
        <v>27</v>
      </c>
      <c r="G609" s="11" t="n">
        <v>12</v>
      </c>
      <c r="H609" s="12">
        <f>IF(F609=0,"",G609/F609)</f>
        <v/>
      </c>
    </row>
    <row r="610">
      <c r="A610" s="7" t="inlineStr">
        <is>
          <t>Simulado 01</t>
        </is>
      </c>
      <c r="B610" s="8" t="n">
        <v>32</v>
      </c>
      <c r="C610" s="8" t="inlineStr">
        <is>
          <t>11ª Fase</t>
        </is>
      </c>
      <c r="D610" s="8" t="inlineStr">
        <is>
          <t>B</t>
        </is>
      </c>
      <c r="E610" s="8" t="inlineStr">
        <is>
          <t>Não</t>
        </is>
      </c>
      <c r="F610" s="8" t="n">
        <v>27</v>
      </c>
      <c r="G610" s="8" t="n">
        <v>15</v>
      </c>
      <c r="H610" s="9">
        <f>IF(F610=0,"",G610/F610)</f>
        <v/>
      </c>
    </row>
    <row r="611">
      <c r="A611" s="10" t="inlineStr">
        <is>
          <t>Simulado 01</t>
        </is>
      </c>
      <c r="B611" s="11" t="n">
        <v>32</v>
      </c>
      <c r="C611" s="11" t="inlineStr">
        <is>
          <t>11ª Fase</t>
        </is>
      </c>
      <c r="D611" s="11" t="inlineStr">
        <is>
          <t>C</t>
        </is>
      </c>
      <c r="E611" s="11" t="inlineStr">
        <is>
          <t>Não</t>
        </is>
      </c>
      <c r="F611" s="11" t="n">
        <v>27</v>
      </c>
      <c r="G611" s="11" t="n">
        <v>0</v>
      </c>
      <c r="H611" s="12">
        <f>IF(F611=0,"",G611/F611)</f>
        <v/>
      </c>
    </row>
    <row r="612">
      <c r="A612" s="7" t="inlineStr">
        <is>
          <t>Simulado 01</t>
        </is>
      </c>
      <c r="B612" s="8" t="n">
        <v>32</v>
      </c>
      <c r="C612" s="8" t="inlineStr">
        <is>
          <t>11ª Fase</t>
        </is>
      </c>
      <c r="D612" s="8" t="inlineStr">
        <is>
          <t>D</t>
        </is>
      </c>
      <c r="E612" s="8" t="inlineStr">
        <is>
          <t>Não</t>
        </is>
      </c>
      <c r="F612" s="8" t="n">
        <v>27</v>
      </c>
      <c r="G612" s="8" t="n">
        <v>0</v>
      </c>
      <c r="H612" s="9">
        <f>IF(F612=0,"",G612/F612)</f>
        <v/>
      </c>
    </row>
    <row r="613">
      <c r="A613" s="10" t="inlineStr">
        <is>
          <t>Simulado 01</t>
        </is>
      </c>
      <c r="B613" s="11" t="n">
        <v>32</v>
      </c>
      <c r="C613" s="11" t="inlineStr">
        <is>
          <t>11ª Fase</t>
        </is>
      </c>
      <c r="D613" s="11" t="inlineStr">
        <is>
          <t>E</t>
        </is>
      </c>
      <c r="E613" s="11" t="inlineStr">
        <is>
          <t>Não</t>
        </is>
      </c>
      <c r="F613" s="11" t="n">
        <v>27</v>
      </c>
      <c r="G613" s="11" t="n">
        <v>0</v>
      </c>
      <c r="H613" s="12">
        <f>IF(F613=0,"",G613/F613)</f>
        <v/>
      </c>
    </row>
    <row r="614">
      <c r="A614" s="7" t="inlineStr">
        <is>
          <t>Simulado 01</t>
        </is>
      </c>
      <c r="B614" s="8" t="n">
        <v>33</v>
      </c>
      <c r="C614" s="8" t="inlineStr">
        <is>
          <t>6ª Fase</t>
        </is>
      </c>
      <c r="D614" s="8" t="inlineStr">
        <is>
          <t>A</t>
        </is>
      </c>
      <c r="E614" s="8" t="inlineStr">
        <is>
          <t>Sim</t>
        </is>
      </c>
      <c r="F614" s="8" t="n">
        <v>27</v>
      </c>
      <c r="G614" s="8" t="n">
        <v>20</v>
      </c>
      <c r="H614" s="9">
        <f>IF(F614=0,"",G614/F614)</f>
        <v/>
      </c>
    </row>
    <row r="615">
      <c r="A615" s="10" t="inlineStr">
        <is>
          <t>Simulado 01</t>
        </is>
      </c>
      <c r="B615" s="11" t="n">
        <v>33</v>
      </c>
      <c r="C615" s="11" t="inlineStr">
        <is>
          <t>6ª Fase</t>
        </is>
      </c>
      <c r="D615" s="11" t="inlineStr">
        <is>
          <t>B</t>
        </is>
      </c>
      <c r="E615" s="11" t="inlineStr">
        <is>
          <t>Não</t>
        </is>
      </c>
      <c r="F615" s="11" t="n">
        <v>27</v>
      </c>
      <c r="G615" s="11" t="n">
        <v>1</v>
      </c>
      <c r="H615" s="12">
        <f>IF(F615=0,"",G615/F615)</f>
        <v/>
      </c>
    </row>
    <row r="616">
      <c r="A616" s="7" t="inlineStr">
        <is>
          <t>Simulado 01</t>
        </is>
      </c>
      <c r="B616" s="8" t="n">
        <v>33</v>
      </c>
      <c r="C616" s="8" t="inlineStr">
        <is>
          <t>6ª Fase</t>
        </is>
      </c>
      <c r="D616" s="8" t="inlineStr">
        <is>
          <t>C</t>
        </is>
      </c>
      <c r="E616" s="8" t="inlineStr">
        <is>
          <t>Não</t>
        </is>
      </c>
      <c r="F616" s="8" t="n">
        <v>27</v>
      </c>
      <c r="G616" s="8" t="n">
        <v>0</v>
      </c>
      <c r="H616" s="9">
        <f>IF(F616=0,"",G616/F616)</f>
        <v/>
      </c>
    </row>
    <row r="617">
      <c r="A617" s="10" t="inlineStr">
        <is>
          <t>Simulado 01</t>
        </is>
      </c>
      <c r="B617" s="11" t="n">
        <v>33</v>
      </c>
      <c r="C617" s="11" t="inlineStr">
        <is>
          <t>6ª Fase</t>
        </is>
      </c>
      <c r="D617" s="11" t="inlineStr">
        <is>
          <t>D</t>
        </is>
      </c>
      <c r="E617" s="11" t="inlineStr">
        <is>
          <t>Não</t>
        </is>
      </c>
      <c r="F617" s="11" t="n">
        <v>27</v>
      </c>
      <c r="G617" s="11" t="n">
        <v>3</v>
      </c>
      <c r="H617" s="12">
        <f>IF(F617=0,"",G617/F617)</f>
        <v/>
      </c>
    </row>
    <row r="618">
      <c r="A618" s="7" t="inlineStr">
        <is>
          <t>Simulado 01</t>
        </is>
      </c>
      <c r="B618" s="8" t="n">
        <v>33</v>
      </c>
      <c r="C618" s="8" t="inlineStr">
        <is>
          <t>6ª Fase</t>
        </is>
      </c>
      <c r="D618" s="8" t="inlineStr">
        <is>
          <t>E</t>
        </is>
      </c>
      <c r="E618" s="8" t="inlineStr">
        <is>
          <t>Não</t>
        </is>
      </c>
      <c r="F618" s="8" t="n">
        <v>27</v>
      </c>
      <c r="G618" s="8" t="n">
        <v>3</v>
      </c>
      <c r="H618" s="9">
        <f>IF(F618=0,"",G618/F618)</f>
        <v/>
      </c>
    </row>
    <row r="619">
      <c r="A619" s="10" t="inlineStr">
        <is>
          <t>Simulado 01</t>
        </is>
      </c>
      <c r="B619" s="11" t="n">
        <v>33</v>
      </c>
      <c r="C619" s="11" t="inlineStr">
        <is>
          <t>7ª Fase</t>
        </is>
      </c>
      <c r="D619" s="11" t="inlineStr">
        <is>
          <t>A</t>
        </is>
      </c>
      <c r="E619" s="11" t="inlineStr">
        <is>
          <t>Sim</t>
        </is>
      </c>
      <c r="F619" s="11" t="n">
        <v>33</v>
      </c>
      <c r="G619" s="11" t="n">
        <v>29</v>
      </c>
      <c r="H619" s="12">
        <f>IF(F619=0,"",G619/F619)</f>
        <v/>
      </c>
    </row>
    <row r="620">
      <c r="A620" s="7" t="inlineStr">
        <is>
          <t>Simulado 01</t>
        </is>
      </c>
      <c r="B620" s="8" t="n">
        <v>33</v>
      </c>
      <c r="C620" s="8" t="inlineStr">
        <is>
          <t>7ª Fase</t>
        </is>
      </c>
      <c r="D620" s="8" t="inlineStr">
        <is>
          <t>B</t>
        </is>
      </c>
      <c r="E620" s="8" t="inlineStr">
        <is>
          <t>Não</t>
        </is>
      </c>
      <c r="F620" s="8" t="n">
        <v>33</v>
      </c>
      <c r="G620" s="8" t="n">
        <v>1</v>
      </c>
      <c r="H620" s="9">
        <f>IF(F620=0,"",G620/F620)</f>
        <v/>
      </c>
    </row>
    <row r="621">
      <c r="A621" s="10" t="inlineStr">
        <is>
          <t>Simulado 01</t>
        </is>
      </c>
      <c r="B621" s="11" t="n">
        <v>33</v>
      </c>
      <c r="C621" s="11" t="inlineStr">
        <is>
          <t>7ª Fase</t>
        </is>
      </c>
      <c r="D621" s="11" t="inlineStr">
        <is>
          <t>C</t>
        </is>
      </c>
      <c r="E621" s="11" t="inlineStr">
        <is>
          <t>Não</t>
        </is>
      </c>
      <c r="F621" s="11" t="n">
        <v>33</v>
      </c>
      <c r="G621" s="11" t="n">
        <v>0</v>
      </c>
      <c r="H621" s="12">
        <f>IF(F621=0,"",G621/F621)</f>
        <v/>
      </c>
    </row>
    <row r="622">
      <c r="A622" s="7" t="inlineStr">
        <is>
          <t>Simulado 01</t>
        </is>
      </c>
      <c r="B622" s="8" t="n">
        <v>33</v>
      </c>
      <c r="C622" s="8" t="inlineStr">
        <is>
          <t>7ª Fase</t>
        </is>
      </c>
      <c r="D622" s="8" t="inlineStr">
        <is>
          <t>D</t>
        </is>
      </c>
      <c r="E622" s="8" t="inlineStr">
        <is>
          <t>Não</t>
        </is>
      </c>
      <c r="F622" s="8" t="n">
        <v>33</v>
      </c>
      <c r="G622" s="8" t="n">
        <v>2</v>
      </c>
      <c r="H622" s="9">
        <f>IF(F622=0,"",G622/F622)</f>
        <v/>
      </c>
    </row>
    <row r="623">
      <c r="A623" s="10" t="inlineStr">
        <is>
          <t>Simulado 01</t>
        </is>
      </c>
      <c r="B623" s="11" t="n">
        <v>33</v>
      </c>
      <c r="C623" s="11" t="inlineStr">
        <is>
          <t>7ª Fase</t>
        </is>
      </c>
      <c r="D623" s="11" t="inlineStr">
        <is>
          <t>E</t>
        </is>
      </c>
      <c r="E623" s="11" t="inlineStr">
        <is>
          <t>Não</t>
        </is>
      </c>
      <c r="F623" s="11" t="n">
        <v>33</v>
      </c>
      <c r="G623" s="11" t="n">
        <v>1</v>
      </c>
      <c r="H623" s="12">
        <f>IF(F623=0,"",G623/F623)</f>
        <v/>
      </c>
    </row>
    <row r="624">
      <c r="A624" s="7" t="inlineStr">
        <is>
          <t>Simulado 01</t>
        </is>
      </c>
      <c r="B624" s="8" t="n">
        <v>33</v>
      </c>
      <c r="C624" s="8" t="inlineStr">
        <is>
          <t>10ª Fase</t>
        </is>
      </c>
      <c r="D624" s="8" t="inlineStr">
        <is>
          <t>A</t>
        </is>
      </c>
      <c r="E624" s="8" t="inlineStr">
        <is>
          <t>Sim</t>
        </is>
      </c>
      <c r="F624" s="8" t="n">
        <v>31</v>
      </c>
      <c r="G624" s="8" t="n">
        <v>24</v>
      </c>
      <c r="H624" s="9">
        <f>IF(F624=0,"",G624/F624)</f>
        <v/>
      </c>
    </row>
    <row r="625">
      <c r="A625" s="10" t="inlineStr">
        <is>
          <t>Simulado 01</t>
        </is>
      </c>
      <c r="B625" s="11" t="n">
        <v>33</v>
      </c>
      <c r="C625" s="11" t="inlineStr">
        <is>
          <t>10ª Fase</t>
        </is>
      </c>
      <c r="D625" s="11" t="inlineStr">
        <is>
          <t>B</t>
        </is>
      </c>
      <c r="E625" s="11" t="inlineStr">
        <is>
          <t>Não</t>
        </is>
      </c>
      <c r="F625" s="11" t="n">
        <v>31</v>
      </c>
      <c r="G625" s="11" t="n">
        <v>1</v>
      </c>
      <c r="H625" s="12">
        <f>IF(F625=0,"",G625/F625)</f>
        <v/>
      </c>
    </row>
    <row r="626">
      <c r="A626" s="7" t="inlineStr">
        <is>
          <t>Simulado 01</t>
        </is>
      </c>
      <c r="B626" s="8" t="n">
        <v>33</v>
      </c>
      <c r="C626" s="8" t="inlineStr">
        <is>
          <t>10ª Fase</t>
        </is>
      </c>
      <c r="D626" s="8" t="inlineStr">
        <is>
          <t>C</t>
        </is>
      </c>
      <c r="E626" s="8" t="inlineStr">
        <is>
          <t>Não</t>
        </is>
      </c>
      <c r="F626" s="8" t="n">
        <v>31</v>
      </c>
      <c r="G626" s="8" t="n">
        <v>0</v>
      </c>
      <c r="H626" s="9">
        <f>IF(F626=0,"",G626/F626)</f>
        <v/>
      </c>
    </row>
    <row r="627">
      <c r="A627" s="10" t="inlineStr">
        <is>
          <t>Simulado 01</t>
        </is>
      </c>
      <c r="B627" s="11" t="n">
        <v>33</v>
      </c>
      <c r="C627" s="11" t="inlineStr">
        <is>
          <t>10ª Fase</t>
        </is>
      </c>
      <c r="D627" s="11" t="inlineStr">
        <is>
          <t>D</t>
        </is>
      </c>
      <c r="E627" s="11" t="inlineStr">
        <is>
          <t>Não</t>
        </is>
      </c>
      <c r="F627" s="11" t="n">
        <v>31</v>
      </c>
      <c r="G627" s="11" t="n">
        <v>4</v>
      </c>
      <c r="H627" s="12">
        <f>IF(F627=0,"",G627/F627)</f>
        <v/>
      </c>
    </row>
    <row r="628">
      <c r="A628" s="7" t="inlineStr">
        <is>
          <t>Simulado 01</t>
        </is>
      </c>
      <c r="B628" s="8" t="n">
        <v>33</v>
      </c>
      <c r="C628" s="8" t="inlineStr">
        <is>
          <t>10ª Fase</t>
        </is>
      </c>
      <c r="D628" s="8" t="inlineStr">
        <is>
          <t>E</t>
        </is>
      </c>
      <c r="E628" s="8" t="inlineStr">
        <is>
          <t>Não</t>
        </is>
      </c>
      <c r="F628" s="8" t="n">
        <v>31</v>
      </c>
      <c r="G628" s="8" t="n">
        <v>2</v>
      </c>
      <c r="H628" s="9">
        <f>IF(F628=0,"",G628/F628)</f>
        <v/>
      </c>
    </row>
    <row r="629">
      <c r="A629" s="10" t="inlineStr">
        <is>
          <t>Simulado 01</t>
        </is>
      </c>
      <c r="B629" s="11" t="n">
        <v>33</v>
      </c>
      <c r="C629" s="11" t="inlineStr">
        <is>
          <t>11ª Fase</t>
        </is>
      </c>
      <c r="D629" s="11" t="inlineStr">
        <is>
          <t>A</t>
        </is>
      </c>
      <c r="E629" s="11" t="inlineStr">
        <is>
          <t>Sim</t>
        </is>
      </c>
      <c r="F629" s="11" t="n">
        <v>27</v>
      </c>
      <c r="G629" s="11" t="n">
        <v>24</v>
      </c>
      <c r="H629" s="12">
        <f>IF(F629=0,"",G629/F629)</f>
        <v/>
      </c>
    </row>
    <row r="630">
      <c r="A630" s="7" t="inlineStr">
        <is>
          <t>Simulado 01</t>
        </is>
      </c>
      <c r="B630" s="8" t="n">
        <v>33</v>
      </c>
      <c r="C630" s="8" t="inlineStr">
        <is>
          <t>11ª Fase</t>
        </is>
      </c>
      <c r="D630" s="8" t="inlineStr">
        <is>
          <t>B</t>
        </is>
      </c>
      <c r="E630" s="8" t="inlineStr">
        <is>
          <t>Não</t>
        </is>
      </c>
      <c r="F630" s="8" t="n">
        <v>27</v>
      </c>
      <c r="G630" s="8" t="n">
        <v>0</v>
      </c>
      <c r="H630" s="9">
        <f>IF(F630=0,"",G630/F630)</f>
        <v/>
      </c>
    </row>
    <row r="631">
      <c r="A631" s="10" t="inlineStr">
        <is>
          <t>Simulado 01</t>
        </is>
      </c>
      <c r="B631" s="11" t="n">
        <v>33</v>
      </c>
      <c r="C631" s="11" t="inlineStr">
        <is>
          <t>11ª Fase</t>
        </is>
      </c>
      <c r="D631" s="11" t="inlineStr">
        <is>
          <t>C</t>
        </is>
      </c>
      <c r="E631" s="11" t="inlineStr">
        <is>
          <t>Não</t>
        </is>
      </c>
      <c r="F631" s="11" t="n">
        <v>27</v>
      </c>
      <c r="G631" s="11" t="n">
        <v>0</v>
      </c>
      <c r="H631" s="12">
        <f>IF(F631=0,"",G631/F631)</f>
        <v/>
      </c>
    </row>
    <row r="632">
      <c r="A632" s="7" t="inlineStr">
        <is>
          <t>Simulado 01</t>
        </is>
      </c>
      <c r="B632" s="8" t="n">
        <v>33</v>
      </c>
      <c r="C632" s="8" t="inlineStr">
        <is>
          <t>11ª Fase</t>
        </is>
      </c>
      <c r="D632" s="8" t="inlineStr">
        <is>
          <t>D</t>
        </is>
      </c>
      <c r="E632" s="8" t="inlineStr">
        <is>
          <t>Não</t>
        </is>
      </c>
      <c r="F632" s="8" t="n">
        <v>27</v>
      </c>
      <c r="G632" s="8" t="n">
        <v>1</v>
      </c>
      <c r="H632" s="9">
        <f>IF(F632=0,"",G632/F632)</f>
        <v/>
      </c>
    </row>
    <row r="633">
      <c r="A633" s="10" t="inlineStr">
        <is>
          <t>Simulado 01</t>
        </is>
      </c>
      <c r="B633" s="11" t="n">
        <v>33</v>
      </c>
      <c r="C633" s="11" t="inlineStr">
        <is>
          <t>11ª Fase</t>
        </is>
      </c>
      <c r="D633" s="11" t="inlineStr">
        <is>
          <t>E</t>
        </is>
      </c>
      <c r="E633" s="11" t="inlineStr">
        <is>
          <t>Não</t>
        </is>
      </c>
      <c r="F633" s="11" t="n">
        <v>27</v>
      </c>
      <c r="G633" s="11" t="n">
        <v>2</v>
      </c>
      <c r="H633" s="12">
        <f>IF(F633=0,"",G633/F633)</f>
        <v/>
      </c>
    </row>
    <row r="634">
      <c r="A634" s="7" t="inlineStr">
        <is>
          <t>Simulado 01</t>
        </is>
      </c>
      <c r="B634" s="8" t="n">
        <v>34</v>
      </c>
      <c r="C634" s="8" t="inlineStr">
        <is>
          <t>6ª Fase</t>
        </is>
      </c>
      <c r="D634" s="8" t="inlineStr">
        <is>
          <t>A</t>
        </is>
      </c>
      <c r="E634" s="8" t="inlineStr">
        <is>
          <t>Não</t>
        </is>
      </c>
      <c r="F634" s="8" t="n">
        <v>27</v>
      </c>
      <c r="G634" s="8" t="n">
        <v>1</v>
      </c>
      <c r="H634" s="9">
        <f>IF(F634=0,"",G634/F634)</f>
        <v/>
      </c>
    </row>
    <row r="635">
      <c r="A635" s="10" t="inlineStr">
        <is>
          <t>Simulado 01</t>
        </is>
      </c>
      <c r="B635" s="11" t="n">
        <v>34</v>
      </c>
      <c r="C635" s="11" t="inlineStr">
        <is>
          <t>6ª Fase</t>
        </is>
      </c>
      <c r="D635" s="11" t="inlineStr">
        <is>
          <t>B</t>
        </is>
      </c>
      <c r="E635" s="11" t="inlineStr">
        <is>
          <t>Não</t>
        </is>
      </c>
      <c r="F635" s="11" t="n">
        <v>27</v>
      </c>
      <c r="G635" s="11" t="n">
        <v>1</v>
      </c>
      <c r="H635" s="12">
        <f>IF(F635=0,"",G635/F635)</f>
        <v/>
      </c>
    </row>
    <row r="636">
      <c r="A636" s="7" t="inlineStr">
        <is>
          <t>Simulado 01</t>
        </is>
      </c>
      <c r="B636" s="8" t="n">
        <v>34</v>
      </c>
      <c r="C636" s="8" t="inlineStr">
        <is>
          <t>6ª Fase</t>
        </is>
      </c>
      <c r="D636" s="8" t="inlineStr">
        <is>
          <t>C</t>
        </is>
      </c>
      <c r="E636" s="8" t="inlineStr">
        <is>
          <t>Sim</t>
        </is>
      </c>
      <c r="F636" s="8" t="n">
        <v>27</v>
      </c>
      <c r="G636" s="8" t="n">
        <v>24</v>
      </c>
      <c r="H636" s="9">
        <f>IF(F636=0,"",G636/F636)</f>
        <v/>
      </c>
    </row>
    <row r="637">
      <c r="A637" s="10" t="inlineStr">
        <is>
          <t>Simulado 01</t>
        </is>
      </c>
      <c r="B637" s="11" t="n">
        <v>34</v>
      </c>
      <c r="C637" s="11" t="inlineStr">
        <is>
          <t>6ª Fase</t>
        </is>
      </c>
      <c r="D637" s="11" t="inlineStr">
        <is>
          <t>D</t>
        </is>
      </c>
      <c r="E637" s="11" t="inlineStr">
        <is>
          <t>Não</t>
        </is>
      </c>
      <c r="F637" s="11" t="n">
        <v>27</v>
      </c>
      <c r="G637" s="11" t="n">
        <v>1</v>
      </c>
      <c r="H637" s="12">
        <f>IF(F637=0,"",G637/F637)</f>
        <v/>
      </c>
    </row>
    <row r="638">
      <c r="A638" s="7" t="inlineStr">
        <is>
          <t>Simulado 01</t>
        </is>
      </c>
      <c r="B638" s="8" t="n">
        <v>34</v>
      </c>
      <c r="C638" s="8" t="inlineStr">
        <is>
          <t>6ª Fase</t>
        </is>
      </c>
      <c r="D638" s="8" t="inlineStr">
        <is>
          <t>E</t>
        </is>
      </c>
      <c r="E638" s="8" t="inlineStr">
        <is>
          <t>Não</t>
        </is>
      </c>
      <c r="F638" s="8" t="n">
        <v>27</v>
      </c>
      <c r="G638" s="8" t="n">
        <v>0</v>
      </c>
      <c r="H638" s="9">
        <f>IF(F638=0,"",G638/F638)</f>
        <v/>
      </c>
    </row>
    <row r="639">
      <c r="A639" s="10" t="inlineStr">
        <is>
          <t>Simulado 01</t>
        </is>
      </c>
      <c r="B639" s="11" t="n">
        <v>34</v>
      </c>
      <c r="C639" s="11" t="inlineStr">
        <is>
          <t>7ª Fase</t>
        </is>
      </c>
      <c r="D639" s="11" t="inlineStr">
        <is>
          <t>A</t>
        </is>
      </c>
      <c r="E639" s="11" t="inlineStr">
        <is>
          <t>Não</t>
        </is>
      </c>
      <c r="F639" s="11" t="n">
        <v>33</v>
      </c>
      <c r="G639" s="11" t="n">
        <v>0</v>
      </c>
      <c r="H639" s="12">
        <f>IF(F639=0,"",G639/F639)</f>
        <v/>
      </c>
    </row>
    <row r="640">
      <c r="A640" s="7" t="inlineStr">
        <is>
          <t>Simulado 01</t>
        </is>
      </c>
      <c r="B640" s="8" t="n">
        <v>34</v>
      </c>
      <c r="C640" s="8" t="inlineStr">
        <is>
          <t>7ª Fase</t>
        </is>
      </c>
      <c r="D640" s="8" t="inlineStr">
        <is>
          <t>B</t>
        </is>
      </c>
      <c r="E640" s="8" t="inlineStr">
        <is>
          <t>Não</t>
        </is>
      </c>
      <c r="F640" s="8" t="n">
        <v>33</v>
      </c>
      <c r="G640" s="8" t="n">
        <v>0</v>
      </c>
      <c r="H640" s="9">
        <f>IF(F640=0,"",G640/F640)</f>
        <v/>
      </c>
    </row>
    <row r="641">
      <c r="A641" s="10" t="inlineStr">
        <is>
          <t>Simulado 01</t>
        </is>
      </c>
      <c r="B641" s="11" t="n">
        <v>34</v>
      </c>
      <c r="C641" s="11" t="inlineStr">
        <is>
          <t>7ª Fase</t>
        </is>
      </c>
      <c r="D641" s="11" t="inlineStr">
        <is>
          <t>C</t>
        </is>
      </c>
      <c r="E641" s="11" t="inlineStr">
        <is>
          <t>Sim</t>
        </is>
      </c>
      <c r="F641" s="11" t="n">
        <v>33</v>
      </c>
      <c r="G641" s="11" t="n">
        <v>31</v>
      </c>
      <c r="H641" s="12">
        <f>IF(F641=0,"",G641/F641)</f>
        <v/>
      </c>
    </row>
    <row r="642">
      <c r="A642" s="7" t="inlineStr">
        <is>
          <t>Simulado 01</t>
        </is>
      </c>
      <c r="B642" s="8" t="n">
        <v>34</v>
      </c>
      <c r="C642" s="8" t="inlineStr">
        <is>
          <t>7ª Fase</t>
        </is>
      </c>
      <c r="D642" s="8" t="inlineStr">
        <is>
          <t>D</t>
        </is>
      </c>
      <c r="E642" s="8" t="inlineStr">
        <is>
          <t>Não</t>
        </is>
      </c>
      <c r="F642" s="8" t="n">
        <v>33</v>
      </c>
      <c r="G642" s="8" t="n">
        <v>0</v>
      </c>
      <c r="H642" s="9">
        <f>IF(F642=0,"",G642/F642)</f>
        <v/>
      </c>
    </row>
    <row r="643">
      <c r="A643" s="10" t="inlineStr">
        <is>
          <t>Simulado 01</t>
        </is>
      </c>
      <c r="B643" s="11" t="n">
        <v>34</v>
      </c>
      <c r="C643" s="11" t="inlineStr">
        <is>
          <t>7ª Fase</t>
        </is>
      </c>
      <c r="D643" s="11" t="inlineStr">
        <is>
          <t>E</t>
        </is>
      </c>
      <c r="E643" s="11" t="inlineStr">
        <is>
          <t>Não</t>
        </is>
      </c>
      <c r="F643" s="11" t="n">
        <v>33</v>
      </c>
      <c r="G643" s="11" t="n">
        <v>2</v>
      </c>
      <c r="H643" s="12">
        <f>IF(F643=0,"",G643/F643)</f>
        <v/>
      </c>
    </row>
    <row r="644">
      <c r="A644" s="7" t="inlineStr">
        <is>
          <t>Simulado 01</t>
        </is>
      </c>
      <c r="B644" s="8" t="n">
        <v>34</v>
      </c>
      <c r="C644" s="8" t="inlineStr">
        <is>
          <t>10ª Fase</t>
        </is>
      </c>
      <c r="D644" s="8" t="inlineStr">
        <is>
          <t>A</t>
        </is>
      </c>
      <c r="E644" s="8" t="inlineStr">
        <is>
          <t>Não</t>
        </is>
      </c>
      <c r="F644" s="8" t="n">
        <v>31</v>
      </c>
      <c r="G644" s="8" t="n">
        <v>1</v>
      </c>
      <c r="H644" s="9">
        <f>IF(F644=0,"",G644/F644)</f>
        <v/>
      </c>
    </row>
    <row r="645">
      <c r="A645" s="10" t="inlineStr">
        <is>
          <t>Simulado 01</t>
        </is>
      </c>
      <c r="B645" s="11" t="n">
        <v>34</v>
      </c>
      <c r="C645" s="11" t="inlineStr">
        <is>
          <t>10ª Fase</t>
        </is>
      </c>
      <c r="D645" s="11" t="inlineStr">
        <is>
          <t>B</t>
        </is>
      </c>
      <c r="E645" s="11" t="inlineStr">
        <is>
          <t>Não</t>
        </is>
      </c>
      <c r="F645" s="11" t="n">
        <v>31</v>
      </c>
      <c r="G645" s="11" t="n">
        <v>0</v>
      </c>
      <c r="H645" s="12">
        <f>IF(F645=0,"",G645/F645)</f>
        <v/>
      </c>
    </row>
    <row r="646">
      <c r="A646" s="7" t="inlineStr">
        <is>
          <t>Simulado 01</t>
        </is>
      </c>
      <c r="B646" s="8" t="n">
        <v>34</v>
      </c>
      <c r="C646" s="8" t="inlineStr">
        <is>
          <t>10ª Fase</t>
        </is>
      </c>
      <c r="D646" s="8" t="inlineStr">
        <is>
          <t>C</t>
        </is>
      </c>
      <c r="E646" s="8" t="inlineStr">
        <is>
          <t>Sim</t>
        </is>
      </c>
      <c r="F646" s="8" t="n">
        <v>31</v>
      </c>
      <c r="G646" s="8" t="n">
        <v>30</v>
      </c>
      <c r="H646" s="9">
        <f>IF(F646=0,"",G646/F646)</f>
        <v/>
      </c>
    </row>
    <row r="647">
      <c r="A647" s="10" t="inlineStr">
        <is>
          <t>Simulado 01</t>
        </is>
      </c>
      <c r="B647" s="11" t="n">
        <v>34</v>
      </c>
      <c r="C647" s="11" t="inlineStr">
        <is>
          <t>10ª Fase</t>
        </is>
      </c>
      <c r="D647" s="11" t="inlineStr">
        <is>
          <t>D</t>
        </is>
      </c>
      <c r="E647" s="11" t="inlineStr">
        <is>
          <t>Não</t>
        </is>
      </c>
      <c r="F647" s="11" t="n">
        <v>31</v>
      </c>
      <c r="G647" s="11" t="n">
        <v>0</v>
      </c>
      <c r="H647" s="12">
        <f>IF(F647=0,"",G647/F647)</f>
        <v/>
      </c>
    </row>
    <row r="648">
      <c r="A648" s="7" t="inlineStr">
        <is>
          <t>Simulado 01</t>
        </is>
      </c>
      <c r="B648" s="8" t="n">
        <v>34</v>
      </c>
      <c r="C648" s="8" t="inlineStr">
        <is>
          <t>10ª Fase</t>
        </is>
      </c>
      <c r="D648" s="8" t="inlineStr">
        <is>
          <t>E</t>
        </is>
      </c>
      <c r="E648" s="8" t="inlineStr">
        <is>
          <t>Não</t>
        </is>
      </c>
      <c r="F648" s="8" t="n">
        <v>31</v>
      </c>
      <c r="G648" s="8" t="n">
        <v>0</v>
      </c>
      <c r="H648" s="9">
        <f>IF(F648=0,"",G648/F648)</f>
        <v/>
      </c>
    </row>
    <row r="649">
      <c r="A649" s="10" t="inlineStr">
        <is>
          <t>Simulado 01</t>
        </is>
      </c>
      <c r="B649" s="11" t="n">
        <v>34</v>
      </c>
      <c r="C649" s="11" t="inlineStr">
        <is>
          <t>11ª Fase</t>
        </is>
      </c>
      <c r="D649" s="11" t="inlineStr">
        <is>
          <t>A</t>
        </is>
      </c>
      <c r="E649" s="11" t="inlineStr">
        <is>
          <t>Não</t>
        </is>
      </c>
      <c r="F649" s="11" t="n">
        <v>27</v>
      </c>
      <c r="G649" s="11" t="n">
        <v>0</v>
      </c>
      <c r="H649" s="12">
        <f>IF(F649=0,"",G649/F649)</f>
        <v/>
      </c>
    </row>
    <row r="650">
      <c r="A650" s="7" t="inlineStr">
        <is>
          <t>Simulado 01</t>
        </is>
      </c>
      <c r="B650" s="8" t="n">
        <v>34</v>
      </c>
      <c r="C650" s="8" t="inlineStr">
        <is>
          <t>11ª Fase</t>
        </is>
      </c>
      <c r="D650" s="8" t="inlineStr">
        <is>
          <t>B</t>
        </is>
      </c>
      <c r="E650" s="8" t="inlineStr">
        <is>
          <t>Não</t>
        </is>
      </c>
      <c r="F650" s="8" t="n">
        <v>27</v>
      </c>
      <c r="G650" s="8" t="n">
        <v>1</v>
      </c>
      <c r="H650" s="9">
        <f>IF(F650=0,"",G650/F650)</f>
        <v/>
      </c>
    </row>
    <row r="651">
      <c r="A651" s="10" t="inlineStr">
        <is>
          <t>Simulado 01</t>
        </is>
      </c>
      <c r="B651" s="11" t="n">
        <v>34</v>
      </c>
      <c r="C651" s="11" t="inlineStr">
        <is>
          <t>11ª Fase</t>
        </is>
      </c>
      <c r="D651" s="11" t="inlineStr">
        <is>
          <t>C</t>
        </is>
      </c>
      <c r="E651" s="11" t="inlineStr">
        <is>
          <t>Sim</t>
        </is>
      </c>
      <c r="F651" s="11" t="n">
        <v>27</v>
      </c>
      <c r="G651" s="11" t="n">
        <v>26</v>
      </c>
      <c r="H651" s="12">
        <f>IF(F651=0,"",G651/F651)</f>
        <v/>
      </c>
    </row>
    <row r="652">
      <c r="A652" s="7" t="inlineStr">
        <is>
          <t>Simulado 01</t>
        </is>
      </c>
      <c r="B652" s="8" t="n">
        <v>34</v>
      </c>
      <c r="C652" s="8" t="inlineStr">
        <is>
          <t>11ª Fase</t>
        </is>
      </c>
      <c r="D652" s="8" t="inlineStr">
        <is>
          <t>D</t>
        </is>
      </c>
      <c r="E652" s="8" t="inlineStr">
        <is>
          <t>Não</t>
        </is>
      </c>
      <c r="F652" s="8" t="n">
        <v>27</v>
      </c>
      <c r="G652" s="8" t="n">
        <v>0</v>
      </c>
      <c r="H652" s="9">
        <f>IF(F652=0,"",G652/F652)</f>
        <v/>
      </c>
    </row>
    <row r="653">
      <c r="A653" s="10" t="inlineStr">
        <is>
          <t>Simulado 01</t>
        </is>
      </c>
      <c r="B653" s="11" t="n">
        <v>34</v>
      </c>
      <c r="C653" s="11" t="inlineStr">
        <is>
          <t>11ª Fase</t>
        </is>
      </c>
      <c r="D653" s="11" t="inlineStr">
        <is>
          <t>E</t>
        </is>
      </c>
      <c r="E653" s="11" t="inlineStr">
        <is>
          <t>Não</t>
        </is>
      </c>
      <c r="F653" s="11" t="n">
        <v>27</v>
      </c>
      <c r="G653" s="11" t="n">
        <v>0</v>
      </c>
      <c r="H653" s="12">
        <f>IF(F653=0,"",G653/F653)</f>
        <v/>
      </c>
    </row>
    <row r="654">
      <c r="A654" s="7" t="inlineStr">
        <is>
          <t>Simulado 01</t>
        </is>
      </c>
      <c r="B654" s="8" t="n">
        <v>35</v>
      </c>
      <c r="C654" s="8" t="inlineStr">
        <is>
          <t>6ª Fase</t>
        </is>
      </c>
      <c r="D654" s="8" t="inlineStr">
        <is>
          <t>A</t>
        </is>
      </c>
      <c r="E654" s="8" t="inlineStr">
        <is>
          <t>Sim</t>
        </is>
      </c>
      <c r="F654" s="8" t="n">
        <v>27</v>
      </c>
      <c r="G654" s="8" t="n">
        <v>21</v>
      </c>
      <c r="H654" s="9">
        <f>IF(F654=0,"",G654/F654)</f>
        <v/>
      </c>
    </row>
    <row r="655">
      <c r="A655" s="10" t="inlineStr">
        <is>
          <t>Simulado 01</t>
        </is>
      </c>
      <c r="B655" s="11" t="n">
        <v>35</v>
      </c>
      <c r="C655" s="11" t="inlineStr">
        <is>
          <t>6ª Fase</t>
        </is>
      </c>
      <c r="D655" s="11" t="inlineStr">
        <is>
          <t>B</t>
        </is>
      </c>
      <c r="E655" s="11" t="inlineStr">
        <is>
          <t>Não</t>
        </is>
      </c>
      <c r="F655" s="11" t="n">
        <v>27</v>
      </c>
      <c r="G655" s="11" t="n">
        <v>1</v>
      </c>
      <c r="H655" s="12">
        <f>IF(F655=0,"",G655/F655)</f>
        <v/>
      </c>
    </row>
    <row r="656">
      <c r="A656" s="7" t="inlineStr">
        <is>
          <t>Simulado 01</t>
        </is>
      </c>
      <c r="B656" s="8" t="n">
        <v>35</v>
      </c>
      <c r="C656" s="8" t="inlineStr">
        <is>
          <t>6ª Fase</t>
        </is>
      </c>
      <c r="D656" s="8" t="inlineStr">
        <is>
          <t>C</t>
        </is>
      </c>
      <c r="E656" s="8" t="inlineStr">
        <is>
          <t>Não</t>
        </is>
      </c>
      <c r="F656" s="8" t="n">
        <v>27</v>
      </c>
      <c r="G656" s="8" t="n">
        <v>4</v>
      </c>
      <c r="H656" s="9">
        <f>IF(F656=0,"",G656/F656)</f>
        <v/>
      </c>
    </row>
    <row r="657">
      <c r="A657" s="10" t="inlineStr">
        <is>
          <t>Simulado 01</t>
        </is>
      </c>
      <c r="B657" s="11" t="n">
        <v>35</v>
      </c>
      <c r="C657" s="11" t="inlineStr">
        <is>
          <t>6ª Fase</t>
        </is>
      </c>
      <c r="D657" s="11" t="inlineStr">
        <is>
          <t>D</t>
        </is>
      </c>
      <c r="E657" s="11" t="inlineStr">
        <is>
          <t>Não</t>
        </is>
      </c>
      <c r="F657" s="11" t="n">
        <v>27</v>
      </c>
      <c r="G657" s="11" t="n">
        <v>0</v>
      </c>
      <c r="H657" s="12">
        <f>IF(F657=0,"",G657/F657)</f>
        <v/>
      </c>
    </row>
    <row r="658">
      <c r="A658" s="7" t="inlineStr">
        <is>
          <t>Simulado 01</t>
        </is>
      </c>
      <c r="B658" s="8" t="n">
        <v>35</v>
      </c>
      <c r="C658" s="8" t="inlineStr">
        <is>
          <t>6ª Fase</t>
        </is>
      </c>
      <c r="D658" s="8" t="inlineStr">
        <is>
          <t>E</t>
        </is>
      </c>
      <c r="E658" s="8" t="inlineStr">
        <is>
          <t>Não</t>
        </is>
      </c>
      <c r="F658" s="8" t="n">
        <v>27</v>
      </c>
      <c r="G658" s="8" t="n">
        <v>1</v>
      </c>
      <c r="H658" s="9">
        <f>IF(F658=0,"",G658/F658)</f>
        <v/>
      </c>
    </row>
    <row r="659">
      <c r="A659" s="10" t="inlineStr">
        <is>
          <t>Simulado 01</t>
        </is>
      </c>
      <c r="B659" s="11" t="n">
        <v>35</v>
      </c>
      <c r="C659" s="11" t="inlineStr">
        <is>
          <t>7ª Fase</t>
        </is>
      </c>
      <c r="D659" s="11" t="inlineStr">
        <is>
          <t>A</t>
        </is>
      </c>
      <c r="E659" s="11" t="inlineStr">
        <is>
          <t>Sim</t>
        </is>
      </c>
      <c r="F659" s="11" t="n">
        <v>33</v>
      </c>
      <c r="G659" s="11" t="n">
        <v>22</v>
      </c>
      <c r="H659" s="12">
        <f>IF(F659=0,"",G659/F659)</f>
        <v/>
      </c>
    </row>
    <row r="660">
      <c r="A660" s="7" t="inlineStr">
        <is>
          <t>Simulado 01</t>
        </is>
      </c>
      <c r="B660" s="8" t="n">
        <v>35</v>
      </c>
      <c r="C660" s="8" t="inlineStr">
        <is>
          <t>7ª Fase</t>
        </is>
      </c>
      <c r="D660" s="8" t="inlineStr">
        <is>
          <t>B</t>
        </is>
      </c>
      <c r="E660" s="8" t="inlineStr">
        <is>
          <t>Não</t>
        </is>
      </c>
      <c r="F660" s="8" t="n">
        <v>33</v>
      </c>
      <c r="G660" s="8" t="n">
        <v>0</v>
      </c>
      <c r="H660" s="9">
        <f>IF(F660=0,"",G660/F660)</f>
        <v/>
      </c>
    </row>
    <row r="661">
      <c r="A661" s="10" t="inlineStr">
        <is>
          <t>Simulado 01</t>
        </is>
      </c>
      <c r="B661" s="11" t="n">
        <v>35</v>
      </c>
      <c r="C661" s="11" t="inlineStr">
        <is>
          <t>7ª Fase</t>
        </is>
      </c>
      <c r="D661" s="11" t="inlineStr">
        <is>
          <t>C</t>
        </is>
      </c>
      <c r="E661" s="11" t="inlineStr">
        <is>
          <t>Não</t>
        </is>
      </c>
      <c r="F661" s="11" t="n">
        <v>33</v>
      </c>
      <c r="G661" s="11" t="n">
        <v>6</v>
      </c>
      <c r="H661" s="12">
        <f>IF(F661=0,"",G661/F661)</f>
        <v/>
      </c>
    </row>
    <row r="662">
      <c r="A662" s="7" t="inlineStr">
        <is>
          <t>Simulado 01</t>
        </is>
      </c>
      <c r="B662" s="8" t="n">
        <v>35</v>
      </c>
      <c r="C662" s="8" t="inlineStr">
        <is>
          <t>7ª Fase</t>
        </is>
      </c>
      <c r="D662" s="8" t="inlineStr">
        <is>
          <t>D</t>
        </is>
      </c>
      <c r="E662" s="8" t="inlineStr">
        <is>
          <t>Não</t>
        </is>
      </c>
      <c r="F662" s="8" t="n">
        <v>33</v>
      </c>
      <c r="G662" s="8" t="n">
        <v>3</v>
      </c>
      <c r="H662" s="9">
        <f>IF(F662=0,"",G662/F662)</f>
        <v/>
      </c>
    </row>
    <row r="663">
      <c r="A663" s="10" t="inlineStr">
        <is>
          <t>Simulado 01</t>
        </is>
      </c>
      <c r="B663" s="11" t="n">
        <v>35</v>
      </c>
      <c r="C663" s="11" t="inlineStr">
        <is>
          <t>7ª Fase</t>
        </is>
      </c>
      <c r="D663" s="11" t="inlineStr">
        <is>
          <t>E</t>
        </is>
      </c>
      <c r="E663" s="11" t="inlineStr">
        <is>
          <t>Não</t>
        </is>
      </c>
      <c r="F663" s="11" t="n">
        <v>33</v>
      </c>
      <c r="G663" s="11" t="n">
        <v>2</v>
      </c>
      <c r="H663" s="12">
        <f>IF(F663=0,"",G663/F663)</f>
        <v/>
      </c>
    </row>
    <row r="664">
      <c r="A664" s="7" t="inlineStr">
        <is>
          <t>Simulado 01</t>
        </is>
      </c>
      <c r="B664" s="8" t="n">
        <v>35</v>
      </c>
      <c r="C664" s="8" t="inlineStr">
        <is>
          <t>10ª Fase</t>
        </is>
      </c>
      <c r="D664" s="8" t="inlineStr">
        <is>
          <t>A</t>
        </is>
      </c>
      <c r="E664" s="8" t="inlineStr">
        <is>
          <t>Sim</t>
        </is>
      </c>
      <c r="F664" s="8" t="n">
        <v>31</v>
      </c>
      <c r="G664" s="8" t="n">
        <v>27</v>
      </c>
      <c r="H664" s="9">
        <f>IF(F664=0,"",G664/F664)</f>
        <v/>
      </c>
    </row>
    <row r="665">
      <c r="A665" s="10" t="inlineStr">
        <is>
          <t>Simulado 01</t>
        </is>
      </c>
      <c r="B665" s="11" t="n">
        <v>35</v>
      </c>
      <c r="C665" s="11" t="inlineStr">
        <is>
          <t>10ª Fase</t>
        </is>
      </c>
      <c r="D665" s="11" t="inlineStr">
        <is>
          <t>B</t>
        </is>
      </c>
      <c r="E665" s="11" t="inlineStr">
        <is>
          <t>Não</t>
        </is>
      </c>
      <c r="F665" s="11" t="n">
        <v>31</v>
      </c>
      <c r="G665" s="11" t="n">
        <v>1</v>
      </c>
      <c r="H665" s="12">
        <f>IF(F665=0,"",G665/F665)</f>
        <v/>
      </c>
    </row>
    <row r="666">
      <c r="A666" s="7" t="inlineStr">
        <is>
          <t>Simulado 01</t>
        </is>
      </c>
      <c r="B666" s="8" t="n">
        <v>35</v>
      </c>
      <c r="C666" s="8" t="inlineStr">
        <is>
          <t>10ª Fase</t>
        </is>
      </c>
      <c r="D666" s="8" t="inlineStr">
        <is>
          <t>C</t>
        </is>
      </c>
      <c r="E666" s="8" t="inlineStr">
        <is>
          <t>Não</t>
        </is>
      </c>
      <c r="F666" s="8" t="n">
        <v>31</v>
      </c>
      <c r="G666" s="8" t="n">
        <v>2</v>
      </c>
      <c r="H666" s="9">
        <f>IF(F666=0,"",G666/F666)</f>
        <v/>
      </c>
    </row>
    <row r="667">
      <c r="A667" s="10" t="inlineStr">
        <is>
          <t>Simulado 01</t>
        </is>
      </c>
      <c r="B667" s="11" t="n">
        <v>35</v>
      </c>
      <c r="C667" s="11" t="inlineStr">
        <is>
          <t>10ª Fase</t>
        </is>
      </c>
      <c r="D667" s="11" t="inlineStr">
        <is>
          <t>D</t>
        </is>
      </c>
      <c r="E667" s="11" t="inlineStr">
        <is>
          <t>Não</t>
        </is>
      </c>
      <c r="F667" s="11" t="n">
        <v>31</v>
      </c>
      <c r="G667" s="11" t="n">
        <v>1</v>
      </c>
      <c r="H667" s="12">
        <f>IF(F667=0,"",G667/F667)</f>
        <v/>
      </c>
    </row>
    <row r="668">
      <c r="A668" s="7" t="inlineStr">
        <is>
          <t>Simulado 01</t>
        </is>
      </c>
      <c r="B668" s="8" t="n">
        <v>35</v>
      </c>
      <c r="C668" s="8" t="inlineStr">
        <is>
          <t>10ª Fase</t>
        </is>
      </c>
      <c r="D668" s="8" t="inlineStr">
        <is>
          <t>E</t>
        </is>
      </c>
      <c r="E668" s="8" t="inlineStr">
        <is>
          <t>Não</t>
        </is>
      </c>
      <c r="F668" s="8" t="n">
        <v>31</v>
      </c>
      <c r="G668" s="8" t="n">
        <v>0</v>
      </c>
      <c r="H668" s="9">
        <f>IF(F668=0,"",G668/F668)</f>
        <v/>
      </c>
    </row>
    <row r="669">
      <c r="A669" s="10" t="inlineStr">
        <is>
          <t>Simulado 01</t>
        </is>
      </c>
      <c r="B669" s="11" t="n">
        <v>35</v>
      </c>
      <c r="C669" s="11" t="inlineStr">
        <is>
          <t>11ª Fase</t>
        </is>
      </c>
      <c r="D669" s="11" t="inlineStr">
        <is>
          <t>A</t>
        </is>
      </c>
      <c r="E669" s="11" t="inlineStr">
        <is>
          <t>Sim</t>
        </is>
      </c>
      <c r="F669" s="11" t="n">
        <v>27</v>
      </c>
      <c r="G669" s="11" t="n">
        <v>23</v>
      </c>
      <c r="H669" s="12">
        <f>IF(F669=0,"",G669/F669)</f>
        <v/>
      </c>
    </row>
    <row r="670">
      <c r="A670" s="7" t="inlineStr">
        <is>
          <t>Simulado 01</t>
        </is>
      </c>
      <c r="B670" s="8" t="n">
        <v>35</v>
      </c>
      <c r="C670" s="8" t="inlineStr">
        <is>
          <t>11ª Fase</t>
        </is>
      </c>
      <c r="D670" s="8" t="inlineStr">
        <is>
          <t>B</t>
        </is>
      </c>
      <c r="E670" s="8" t="inlineStr">
        <is>
          <t>Não</t>
        </is>
      </c>
      <c r="F670" s="8" t="n">
        <v>27</v>
      </c>
      <c r="G670" s="8" t="n">
        <v>0</v>
      </c>
      <c r="H670" s="9">
        <f>IF(F670=0,"",G670/F670)</f>
        <v/>
      </c>
    </row>
    <row r="671">
      <c r="A671" s="10" t="inlineStr">
        <is>
          <t>Simulado 01</t>
        </is>
      </c>
      <c r="B671" s="11" t="n">
        <v>35</v>
      </c>
      <c r="C671" s="11" t="inlineStr">
        <is>
          <t>11ª Fase</t>
        </is>
      </c>
      <c r="D671" s="11" t="inlineStr">
        <is>
          <t>C</t>
        </is>
      </c>
      <c r="E671" s="11" t="inlineStr">
        <is>
          <t>Não</t>
        </is>
      </c>
      <c r="F671" s="11" t="n">
        <v>27</v>
      </c>
      <c r="G671" s="11" t="n">
        <v>4</v>
      </c>
      <c r="H671" s="12">
        <f>IF(F671=0,"",G671/F671)</f>
        <v/>
      </c>
    </row>
    <row r="672">
      <c r="A672" s="7" t="inlineStr">
        <is>
          <t>Simulado 01</t>
        </is>
      </c>
      <c r="B672" s="8" t="n">
        <v>35</v>
      </c>
      <c r="C672" s="8" t="inlineStr">
        <is>
          <t>11ª Fase</t>
        </is>
      </c>
      <c r="D672" s="8" t="inlineStr">
        <is>
          <t>D</t>
        </is>
      </c>
      <c r="E672" s="8" t="inlineStr">
        <is>
          <t>Não</t>
        </is>
      </c>
      <c r="F672" s="8" t="n">
        <v>27</v>
      </c>
      <c r="G672" s="8" t="n">
        <v>0</v>
      </c>
      <c r="H672" s="9">
        <f>IF(F672=0,"",G672/F672)</f>
        <v/>
      </c>
    </row>
    <row r="673">
      <c r="A673" s="10" t="inlineStr">
        <is>
          <t>Simulado 01</t>
        </is>
      </c>
      <c r="B673" s="11" t="n">
        <v>35</v>
      </c>
      <c r="C673" s="11" t="inlineStr">
        <is>
          <t>11ª Fase</t>
        </is>
      </c>
      <c r="D673" s="11" t="inlineStr">
        <is>
          <t>E</t>
        </is>
      </c>
      <c r="E673" s="11" t="inlineStr">
        <is>
          <t>Não</t>
        </is>
      </c>
      <c r="F673" s="11" t="n">
        <v>27</v>
      </c>
      <c r="G673" s="11" t="n">
        <v>0</v>
      </c>
      <c r="H673" s="12">
        <f>IF(F673=0,"",G673/F673)</f>
        <v/>
      </c>
    </row>
    <row r="674">
      <c r="A674" s="7" t="inlineStr">
        <is>
          <t>Simulado 01</t>
        </is>
      </c>
      <c r="B674" s="8" t="n">
        <v>36</v>
      </c>
      <c r="C674" s="8" t="inlineStr">
        <is>
          <t>6ª Fase</t>
        </is>
      </c>
      <c r="D674" s="8" t="inlineStr">
        <is>
          <t>A</t>
        </is>
      </c>
      <c r="E674" s="8" t="inlineStr">
        <is>
          <t>Não</t>
        </is>
      </c>
      <c r="F674" s="8" t="n">
        <v>27</v>
      </c>
      <c r="G674" s="8" t="n">
        <v>1</v>
      </c>
      <c r="H674" s="9">
        <f>IF(F674=0,"",G674/F674)</f>
        <v/>
      </c>
    </row>
    <row r="675">
      <c r="A675" s="10" t="inlineStr">
        <is>
          <t>Simulado 01</t>
        </is>
      </c>
      <c r="B675" s="11" t="n">
        <v>36</v>
      </c>
      <c r="C675" s="11" t="inlineStr">
        <is>
          <t>6ª Fase</t>
        </is>
      </c>
      <c r="D675" s="11" t="inlineStr">
        <is>
          <t>B</t>
        </is>
      </c>
      <c r="E675" s="11" t="inlineStr">
        <is>
          <t>Sim</t>
        </is>
      </c>
      <c r="F675" s="11" t="n">
        <v>27</v>
      </c>
      <c r="G675" s="11" t="n">
        <v>25</v>
      </c>
      <c r="H675" s="12">
        <f>IF(F675=0,"",G675/F675)</f>
        <v/>
      </c>
    </row>
    <row r="676">
      <c r="A676" s="7" t="inlineStr">
        <is>
          <t>Simulado 01</t>
        </is>
      </c>
      <c r="B676" s="8" t="n">
        <v>36</v>
      </c>
      <c r="C676" s="8" t="inlineStr">
        <is>
          <t>6ª Fase</t>
        </is>
      </c>
      <c r="D676" s="8" t="inlineStr">
        <is>
          <t>C</t>
        </is>
      </c>
      <c r="E676" s="8" t="inlineStr">
        <is>
          <t>Não</t>
        </is>
      </c>
      <c r="F676" s="8" t="n">
        <v>27</v>
      </c>
      <c r="G676" s="8" t="n">
        <v>0</v>
      </c>
      <c r="H676" s="9">
        <f>IF(F676=0,"",G676/F676)</f>
        <v/>
      </c>
    </row>
    <row r="677">
      <c r="A677" s="10" t="inlineStr">
        <is>
          <t>Simulado 01</t>
        </is>
      </c>
      <c r="B677" s="11" t="n">
        <v>36</v>
      </c>
      <c r="C677" s="11" t="inlineStr">
        <is>
          <t>6ª Fase</t>
        </is>
      </c>
      <c r="D677" s="11" t="inlineStr">
        <is>
          <t>D</t>
        </is>
      </c>
      <c r="E677" s="11" t="inlineStr">
        <is>
          <t>Não</t>
        </is>
      </c>
      <c r="F677" s="11" t="n">
        <v>27</v>
      </c>
      <c r="G677" s="11" t="n">
        <v>1</v>
      </c>
      <c r="H677" s="12">
        <f>IF(F677=0,"",G677/F677)</f>
        <v/>
      </c>
    </row>
    <row r="678">
      <c r="A678" s="7" t="inlineStr">
        <is>
          <t>Simulado 01</t>
        </is>
      </c>
      <c r="B678" s="8" t="n">
        <v>36</v>
      </c>
      <c r="C678" s="8" t="inlineStr">
        <is>
          <t>7ª Fase</t>
        </is>
      </c>
      <c r="D678" s="8" t="inlineStr">
        <is>
          <t>A</t>
        </is>
      </c>
      <c r="E678" s="8" t="inlineStr">
        <is>
          <t>Não</t>
        </is>
      </c>
      <c r="F678" s="8" t="n">
        <v>33</v>
      </c>
      <c r="G678" s="8" t="n">
        <v>1</v>
      </c>
      <c r="H678" s="9">
        <f>IF(F678=0,"",G678/F678)</f>
        <v/>
      </c>
    </row>
    <row r="679">
      <c r="A679" s="10" t="inlineStr">
        <is>
          <t>Simulado 01</t>
        </is>
      </c>
      <c r="B679" s="11" t="n">
        <v>36</v>
      </c>
      <c r="C679" s="11" t="inlineStr">
        <is>
          <t>7ª Fase</t>
        </is>
      </c>
      <c r="D679" s="11" t="inlineStr">
        <is>
          <t>B</t>
        </is>
      </c>
      <c r="E679" s="11" t="inlineStr">
        <is>
          <t>Sim</t>
        </is>
      </c>
      <c r="F679" s="11" t="n">
        <v>33</v>
      </c>
      <c r="G679" s="11" t="n">
        <v>32</v>
      </c>
      <c r="H679" s="12">
        <f>IF(F679=0,"",G679/F679)</f>
        <v/>
      </c>
    </row>
    <row r="680">
      <c r="A680" s="7" t="inlineStr">
        <is>
          <t>Simulado 01</t>
        </is>
      </c>
      <c r="B680" s="8" t="n">
        <v>36</v>
      </c>
      <c r="C680" s="8" t="inlineStr">
        <is>
          <t>7ª Fase</t>
        </is>
      </c>
      <c r="D680" s="8" t="inlineStr">
        <is>
          <t>C</t>
        </is>
      </c>
      <c r="E680" s="8" t="inlineStr">
        <is>
          <t>Não</t>
        </is>
      </c>
      <c r="F680" s="8" t="n">
        <v>33</v>
      </c>
      <c r="G680" s="8" t="n">
        <v>0</v>
      </c>
      <c r="H680" s="9">
        <f>IF(F680=0,"",G680/F680)</f>
        <v/>
      </c>
    </row>
    <row r="681">
      <c r="A681" s="10" t="inlineStr">
        <is>
          <t>Simulado 01</t>
        </is>
      </c>
      <c r="B681" s="11" t="n">
        <v>36</v>
      </c>
      <c r="C681" s="11" t="inlineStr">
        <is>
          <t>7ª Fase</t>
        </is>
      </c>
      <c r="D681" s="11" t="inlineStr">
        <is>
          <t>D</t>
        </is>
      </c>
      <c r="E681" s="11" t="inlineStr">
        <is>
          <t>Não</t>
        </is>
      </c>
      <c r="F681" s="11" t="n">
        <v>33</v>
      </c>
      <c r="G681" s="11" t="n">
        <v>0</v>
      </c>
      <c r="H681" s="12">
        <f>IF(F681=0,"",G681/F681)</f>
        <v/>
      </c>
    </row>
    <row r="682">
      <c r="A682" s="7" t="inlineStr">
        <is>
          <t>Simulado 01</t>
        </is>
      </c>
      <c r="B682" s="8" t="n">
        <v>36</v>
      </c>
      <c r="C682" s="8" t="inlineStr">
        <is>
          <t>10ª Fase</t>
        </is>
      </c>
      <c r="D682" s="8" t="inlineStr">
        <is>
          <t>A</t>
        </is>
      </c>
      <c r="E682" s="8" t="inlineStr">
        <is>
          <t>Não</t>
        </is>
      </c>
      <c r="F682" s="8" t="n">
        <v>31</v>
      </c>
      <c r="G682" s="8" t="n">
        <v>1</v>
      </c>
      <c r="H682" s="9">
        <f>IF(F682=0,"",G682/F682)</f>
        <v/>
      </c>
    </row>
    <row r="683">
      <c r="A683" s="10" t="inlineStr">
        <is>
          <t>Simulado 01</t>
        </is>
      </c>
      <c r="B683" s="11" t="n">
        <v>36</v>
      </c>
      <c r="C683" s="11" t="inlineStr">
        <is>
          <t>10ª Fase</t>
        </is>
      </c>
      <c r="D683" s="11" t="inlineStr">
        <is>
          <t>B</t>
        </is>
      </c>
      <c r="E683" s="11" t="inlineStr">
        <is>
          <t>Sim</t>
        </is>
      </c>
      <c r="F683" s="11" t="n">
        <v>31</v>
      </c>
      <c r="G683" s="11" t="n">
        <v>30</v>
      </c>
      <c r="H683" s="12">
        <f>IF(F683=0,"",G683/F683)</f>
        <v/>
      </c>
    </row>
    <row r="684">
      <c r="A684" s="7" t="inlineStr">
        <is>
          <t>Simulado 01</t>
        </is>
      </c>
      <c r="B684" s="8" t="n">
        <v>36</v>
      </c>
      <c r="C684" s="8" t="inlineStr">
        <is>
          <t>10ª Fase</t>
        </is>
      </c>
      <c r="D684" s="8" t="inlineStr">
        <is>
          <t>C</t>
        </is>
      </c>
      <c r="E684" s="8" t="inlineStr">
        <is>
          <t>Não</t>
        </is>
      </c>
      <c r="F684" s="8" t="n">
        <v>31</v>
      </c>
      <c r="G684" s="8" t="n">
        <v>0</v>
      </c>
      <c r="H684" s="9">
        <f>IF(F684=0,"",G684/F684)</f>
        <v/>
      </c>
    </row>
    <row r="685">
      <c r="A685" s="10" t="inlineStr">
        <is>
          <t>Simulado 01</t>
        </is>
      </c>
      <c r="B685" s="11" t="n">
        <v>36</v>
      </c>
      <c r="C685" s="11" t="inlineStr">
        <is>
          <t>10ª Fase</t>
        </is>
      </c>
      <c r="D685" s="11" t="inlineStr">
        <is>
          <t>D</t>
        </is>
      </c>
      <c r="E685" s="11" t="inlineStr">
        <is>
          <t>Não</t>
        </is>
      </c>
      <c r="F685" s="11" t="n">
        <v>31</v>
      </c>
      <c r="G685" s="11" t="n">
        <v>0</v>
      </c>
      <c r="H685" s="12">
        <f>IF(F685=0,"",G685/F685)</f>
        <v/>
      </c>
    </row>
    <row r="686">
      <c r="A686" s="7" t="inlineStr">
        <is>
          <t>Simulado 01</t>
        </is>
      </c>
      <c r="B686" s="8" t="n">
        <v>36</v>
      </c>
      <c r="C686" s="8" t="inlineStr">
        <is>
          <t>11ª Fase</t>
        </is>
      </c>
      <c r="D686" s="8" t="inlineStr">
        <is>
          <t>A</t>
        </is>
      </c>
      <c r="E686" s="8" t="inlineStr">
        <is>
          <t>Não</t>
        </is>
      </c>
      <c r="F686" s="8" t="n">
        <v>27</v>
      </c>
      <c r="G686" s="8" t="n">
        <v>0</v>
      </c>
      <c r="H686" s="9">
        <f>IF(F686=0,"",G686/F686)</f>
        <v/>
      </c>
    </row>
    <row r="687">
      <c r="A687" s="10" t="inlineStr">
        <is>
          <t>Simulado 01</t>
        </is>
      </c>
      <c r="B687" s="11" t="n">
        <v>36</v>
      </c>
      <c r="C687" s="11" t="inlineStr">
        <is>
          <t>11ª Fase</t>
        </is>
      </c>
      <c r="D687" s="11" t="inlineStr">
        <is>
          <t>B</t>
        </is>
      </c>
      <c r="E687" s="11" t="inlineStr">
        <is>
          <t>Sim</t>
        </is>
      </c>
      <c r="F687" s="11" t="n">
        <v>27</v>
      </c>
      <c r="G687" s="11" t="n">
        <v>24</v>
      </c>
      <c r="H687" s="12">
        <f>IF(F687=0,"",G687/F687)</f>
        <v/>
      </c>
    </row>
    <row r="688">
      <c r="A688" s="7" t="inlineStr">
        <is>
          <t>Simulado 01</t>
        </is>
      </c>
      <c r="B688" s="8" t="n">
        <v>36</v>
      </c>
      <c r="C688" s="8" t="inlineStr">
        <is>
          <t>11ª Fase</t>
        </is>
      </c>
      <c r="D688" s="8" t="inlineStr">
        <is>
          <t>C</t>
        </is>
      </c>
      <c r="E688" s="8" t="inlineStr">
        <is>
          <t>Não</t>
        </is>
      </c>
      <c r="F688" s="8" t="n">
        <v>27</v>
      </c>
      <c r="G688" s="8" t="n">
        <v>0</v>
      </c>
      <c r="H688" s="9">
        <f>IF(F688=0,"",G688/F688)</f>
        <v/>
      </c>
    </row>
    <row r="689">
      <c r="A689" s="10" t="inlineStr">
        <is>
          <t>Simulado 01</t>
        </is>
      </c>
      <c r="B689" s="11" t="n">
        <v>36</v>
      </c>
      <c r="C689" s="11" t="inlineStr">
        <is>
          <t>11ª Fase</t>
        </is>
      </c>
      <c r="D689" s="11" t="inlineStr">
        <is>
          <t>D</t>
        </is>
      </c>
      <c r="E689" s="11" t="inlineStr">
        <is>
          <t>Não</t>
        </is>
      </c>
      <c r="F689" s="11" t="n">
        <v>27</v>
      </c>
      <c r="G689" s="11" t="n">
        <v>3</v>
      </c>
      <c r="H689" s="12">
        <f>IF(F689=0,"",G689/F689)</f>
        <v/>
      </c>
    </row>
    <row r="690">
      <c r="A690" s="7" t="inlineStr">
        <is>
          <t>Simulado 01</t>
        </is>
      </c>
      <c r="B690" s="8" t="n">
        <v>37</v>
      </c>
      <c r="C690" s="8" t="inlineStr">
        <is>
          <t>6ª Fase</t>
        </is>
      </c>
      <c r="D690" s="8" t="inlineStr">
        <is>
          <t>A</t>
        </is>
      </c>
      <c r="E690" s="8" t="inlineStr">
        <is>
          <t>Não</t>
        </is>
      </c>
      <c r="F690" s="8" t="n">
        <v>27</v>
      </c>
      <c r="G690" s="8" t="n">
        <v>2</v>
      </c>
      <c r="H690" s="9">
        <f>IF(F690=0,"",G690/F690)</f>
        <v/>
      </c>
    </row>
    <row r="691">
      <c r="A691" s="10" t="inlineStr">
        <is>
          <t>Simulado 01</t>
        </is>
      </c>
      <c r="B691" s="11" t="n">
        <v>37</v>
      </c>
      <c r="C691" s="11" t="inlineStr">
        <is>
          <t>6ª Fase</t>
        </is>
      </c>
      <c r="D691" s="11" t="inlineStr">
        <is>
          <t>B</t>
        </is>
      </c>
      <c r="E691" s="11" t="inlineStr">
        <is>
          <t>Sim</t>
        </is>
      </c>
      <c r="F691" s="11" t="n">
        <v>27</v>
      </c>
      <c r="G691" s="11" t="n">
        <v>4</v>
      </c>
      <c r="H691" s="12">
        <f>IF(F691=0,"",G691/F691)</f>
        <v/>
      </c>
    </row>
    <row r="692">
      <c r="A692" s="7" t="inlineStr">
        <is>
          <t>Simulado 01</t>
        </is>
      </c>
      <c r="B692" s="8" t="n">
        <v>37</v>
      </c>
      <c r="C692" s="8" t="inlineStr">
        <is>
          <t>6ª Fase</t>
        </is>
      </c>
      <c r="D692" s="8" t="inlineStr">
        <is>
          <t>C</t>
        </is>
      </c>
      <c r="E692" s="8" t="inlineStr">
        <is>
          <t>Não</t>
        </is>
      </c>
      <c r="F692" s="8" t="n">
        <v>27</v>
      </c>
      <c r="G692" s="8" t="n">
        <v>17</v>
      </c>
      <c r="H692" s="9">
        <f>IF(F692=0,"",G692/F692)</f>
        <v/>
      </c>
    </row>
    <row r="693">
      <c r="A693" s="10" t="inlineStr">
        <is>
          <t>Simulado 01</t>
        </is>
      </c>
      <c r="B693" s="11" t="n">
        <v>37</v>
      </c>
      <c r="C693" s="11" t="inlineStr">
        <is>
          <t>6ª Fase</t>
        </is>
      </c>
      <c r="D693" s="11" t="inlineStr">
        <is>
          <t>D</t>
        </is>
      </c>
      <c r="E693" s="11" t="inlineStr">
        <is>
          <t>Não</t>
        </is>
      </c>
      <c r="F693" s="11" t="n">
        <v>27</v>
      </c>
      <c r="G693" s="11" t="n">
        <v>3</v>
      </c>
      <c r="H693" s="12">
        <f>IF(F693=0,"",G693/F693)</f>
        <v/>
      </c>
    </row>
    <row r="694">
      <c r="A694" s="7" t="inlineStr">
        <is>
          <t>Simulado 01</t>
        </is>
      </c>
      <c r="B694" s="8" t="n">
        <v>37</v>
      </c>
      <c r="C694" s="8" t="inlineStr">
        <is>
          <t>6ª Fase</t>
        </is>
      </c>
      <c r="D694" s="8" t="inlineStr">
        <is>
          <t>E</t>
        </is>
      </c>
      <c r="E694" s="8" t="inlineStr">
        <is>
          <t>Não</t>
        </is>
      </c>
      <c r="F694" s="8" t="n">
        <v>27</v>
      </c>
      <c r="G694" s="8" t="n">
        <v>1</v>
      </c>
      <c r="H694" s="9">
        <f>IF(F694=0,"",G694/F694)</f>
        <v/>
      </c>
    </row>
    <row r="695">
      <c r="A695" s="10" t="inlineStr">
        <is>
          <t>Simulado 01</t>
        </is>
      </c>
      <c r="B695" s="11" t="n">
        <v>37</v>
      </c>
      <c r="C695" s="11" t="inlineStr">
        <is>
          <t>7ª Fase</t>
        </is>
      </c>
      <c r="D695" s="11" t="inlineStr">
        <is>
          <t>A</t>
        </is>
      </c>
      <c r="E695" s="11" t="inlineStr">
        <is>
          <t>Não</t>
        </is>
      </c>
      <c r="F695" s="11" t="n">
        <v>33</v>
      </c>
      <c r="G695" s="11" t="n">
        <v>7</v>
      </c>
      <c r="H695" s="12">
        <f>IF(F695=0,"",G695/F695)</f>
        <v/>
      </c>
    </row>
    <row r="696">
      <c r="A696" s="7" t="inlineStr">
        <is>
          <t>Simulado 01</t>
        </is>
      </c>
      <c r="B696" s="8" t="n">
        <v>37</v>
      </c>
      <c r="C696" s="8" t="inlineStr">
        <is>
          <t>7ª Fase</t>
        </is>
      </c>
      <c r="D696" s="8" t="inlineStr">
        <is>
          <t>B</t>
        </is>
      </c>
      <c r="E696" s="8" t="inlineStr">
        <is>
          <t>Sim</t>
        </is>
      </c>
      <c r="F696" s="8" t="n">
        <v>33</v>
      </c>
      <c r="G696" s="8" t="n">
        <v>5</v>
      </c>
      <c r="H696" s="9">
        <f>IF(F696=0,"",G696/F696)</f>
        <v/>
      </c>
    </row>
    <row r="697">
      <c r="A697" s="10" t="inlineStr">
        <is>
          <t>Simulado 01</t>
        </is>
      </c>
      <c r="B697" s="11" t="n">
        <v>37</v>
      </c>
      <c r="C697" s="11" t="inlineStr">
        <is>
          <t>7ª Fase</t>
        </is>
      </c>
      <c r="D697" s="11" t="inlineStr">
        <is>
          <t>C</t>
        </is>
      </c>
      <c r="E697" s="11" t="inlineStr">
        <is>
          <t>Não</t>
        </is>
      </c>
      <c r="F697" s="11" t="n">
        <v>33</v>
      </c>
      <c r="G697" s="11" t="n">
        <v>17</v>
      </c>
      <c r="H697" s="12">
        <f>IF(F697=0,"",G697/F697)</f>
        <v/>
      </c>
    </row>
    <row r="698">
      <c r="A698" s="7" t="inlineStr">
        <is>
          <t>Simulado 01</t>
        </is>
      </c>
      <c r="B698" s="8" t="n">
        <v>37</v>
      </c>
      <c r="C698" s="8" t="inlineStr">
        <is>
          <t>7ª Fase</t>
        </is>
      </c>
      <c r="D698" s="8" t="inlineStr">
        <is>
          <t>D</t>
        </is>
      </c>
      <c r="E698" s="8" t="inlineStr">
        <is>
          <t>Não</t>
        </is>
      </c>
      <c r="F698" s="8" t="n">
        <v>33</v>
      </c>
      <c r="G698" s="8" t="n">
        <v>2</v>
      </c>
      <c r="H698" s="9">
        <f>IF(F698=0,"",G698/F698)</f>
        <v/>
      </c>
    </row>
    <row r="699">
      <c r="A699" s="10" t="inlineStr">
        <is>
          <t>Simulado 01</t>
        </is>
      </c>
      <c r="B699" s="11" t="n">
        <v>37</v>
      </c>
      <c r="C699" s="11" t="inlineStr">
        <is>
          <t>7ª Fase</t>
        </is>
      </c>
      <c r="D699" s="11" t="inlineStr">
        <is>
          <t>E</t>
        </is>
      </c>
      <c r="E699" s="11" t="inlineStr">
        <is>
          <t>Não</t>
        </is>
      </c>
      <c r="F699" s="11" t="n">
        <v>33</v>
      </c>
      <c r="G699" s="11" t="n">
        <v>2</v>
      </c>
      <c r="H699" s="12">
        <f>IF(F699=0,"",G699/F699)</f>
        <v/>
      </c>
    </row>
    <row r="700">
      <c r="A700" s="7" t="inlineStr">
        <is>
          <t>Simulado 01</t>
        </is>
      </c>
      <c r="B700" s="8" t="n">
        <v>37</v>
      </c>
      <c r="C700" s="8" t="inlineStr">
        <is>
          <t>10ª Fase</t>
        </is>
      </c>
      <c r="D700" s="8" t="inlineStr">
        <is>
          <t>A</t>
        </is>
      </c>
      <c r="E700" s="8" t="inlineStr">
        <is>
          <t>Não</t>
        </is>
      </c>
      <c r="F700" s="8" t="n">
        <v>31</v>
      </c>
      <c r="G700" s="8" t="n">
        <v>5</v>
      </c>
      <c r="H700" s="9">
        <f>IF(F700=0,"",G700/F700)</f>
        <v/>
      </c>
    </row>
    <row r="701">
      <c r="A701" s="10" t="inlineStr">
        <is>
          <t>Simulado 01</t>
        </is>
      </c>
      <c r="B701" s="11" t="n">
        <v>37</v>
      </c>
      <c r="C701" s="11" t="inlineStr">
        <is>
          <t>10ª Fase</t>
        </is>
      </c>
      <c r="D701" s="11" t="inlineStr">
        <is>
          <t>B</t>
        </is>
      </c>
      <c r="E701" s="11" t="inlineStr">
        <is>
          <t>Sim</t>
        </is>
      </c>
      <c r="F701" s="11" t="n">
        <v>31</v>
      </c>
      <c r="G701" s="11" t="n">
        <v>13</v>
      </c>
      <c r="H701" s="12">
        <f>IF(F701=0,"",G701/F701)</f>
        <v/>
      </c>
    </row>
    <row r="702">
      <c r="A702" s="7" t="inlineStr">
        <is>
          <t>Simulado 01</t>
        </is>
      </c>
      <c r="B702" s="8" t="n">
        <v>37</v>
      </c>
      <c r="C702" s="8" t="inlineStr">
        <is>
          <t>10ª Fase</t>
        </is>
      </c>
      <c r="D702" s="8" t="inlineStr">
        <is>
          <t>C</t>
        </is>
      </c>
      <c r="E702" s="8" t="inlineStr">
        <is>
          <t>Não</t>
        </is>
      </c>
      <c r="F702" s="8" t="n">
        <v>31</v>
      </c>
      <c r="G702" s="8" t="n">
        <v>11</v>
      </c>
      <c r="H702" s="9">
        <f>IF(F702=0,"",G702/F702)</f>
        <v/>
      </c>
    </row>
    <row r="703">
      <c r="A703" s="10" t="inlineStr">
        <is>
          <t>Simulado 01</t>
        </is>
      </c>
      <c r="B703" s="11" t="n">
        <v>37</v>
      </c>
      <c r="C703" s="11" t="inlineStr">
        <is>
          <t>10ª Fase</t>
        </is>
      </c>
      <c r="D703" s="11" t="inlineStr">
        <is>
          <t>D</t>
        </is>
      </c>
      <c r="E703" s="11" t="inlineStr">
        <is>
          <t>Não</t>
        </is>
      </c>
      <c r="F703" s="11" t="n">
        <v>31</v>
      </c>
      <c r="G703" s="11" t="n">
        <v>1</v>
      </c>
      <c r="H703" s="12">
        <f>IF(F703=0,"",G703/F703)</f>
        <v/>
      </c>
    </row>
    <row r="704">
      <c r="A704" s="7" t="inlineStr">
        <is>
          <t>Simulado 01</t>
        </is>
      </c>
      <c r="B704" s="8" t="n">
        <v>37</v>
      </c>
      <c r="C704" s="8" t="inlineStr">
        <is>
          <t>10ª Fase</t>
        </is>
      </c>
      <c r="D704" s="8" t="inlineStr">
        <is>
          <t>E</t>
        </is>
      </c>
      <c r="E704" s="8" t="inlineStr">
        <is>
          <t>Não</t>
        </is>
      </c>
      <c r="F704" s="8" t="n">
        <v>31</v>
      </c>
      <c r="G704" s="8" t="n">
        <v>1</v>
      </c>
      <c r="H704" s="9">
        <f>IF(F704=0,"",G704/F704)</f>
        <v/>
      </c>
    </row>
    <row r="705">
      <c r="A705" s="10" t="inlineStr">
        <is>
          <t>Simulado 01</t>
        </is>
      </c>
      <c r="B705" s="11" t="n">
        <v>37</v>
      </c>
      <c r="C705" s="11" t="inlineStr">
        <is>
          <t>11ª Fase</t>
        </is>
      </c>
      <c r="D705" s="11" t="inlineStr">
        <is>
          <t>A</t>
        </is>
      </c>
      <c r="E705" s="11" t="inlineStr">
        <is>
          <t>Não</t>
        </is>
      </c>
      <c r="F705" s="11" t="n">
        <v>27</v>
      </c>
      <c r="G705" s="11" t="n">
        <v>2</v>
      </c>
      <c r="H705" s="12">
        <f>IF(F705=0,"",G705/F705)</f>
        <v/>
      </c>
    </row>
    <row r="706">
      <c r="A706" s="7" t="inlineStr">
        <is>
          <t>Simulado 01</t>
        </is>
      </c>
      <c r="B706" s="8" t="n">
        <v>37</v>
      </c>
      <c r="C706" s="8" t="inlineStr">
        <is>
          <t>11ª Fase</t>
        </is>
      </c>
      <c r="D706" s="8" t="inlineStr">
        <is>
          <t>B</t>
        </is>
      </c>
      <c r="E706" s="8" t="inlineStr">
        <is>
          <t>Sim</t>
        </is>
      </c>
      <c r="F706" s="8" t="n">
        <v>27</v>
      </c>
      <c r="G706" s="8" t="n">
        <v>15</v>
      </c>
      <c r="H706" s="9">
        <f>IF(F706=0,"",G706/F706)</f>
        <v/>
      </c>
    </row>
    <row r="707">
      <c r="A707" s="10" t="inlineStr">
        <is>
          <t>Simulado 01</t>
        </is>
      </c>
      <c r="B707" s="11" t="n">
        <v>37</v>
      </c>
      <c r="C707" s="11" t="inlineStr">
        <is>
          <t>11ª Fase</t>
        </is>
      </c>
      <c r="D707" s="11" t="inlineStr">
        <is>
          <t>C</t>
        </is>
      </c>
      <c r="E707" s="11" t="inlineStr">
        <is>
          <t>Não</t>
        </is>
      </c>
      <c r="F707" s="11" t="n">
        <v>27</v>
      </c>
      <c r="G707" s="11" t="n">
        <v>8</v>
      </c>
      <c r="H707" s="12">
        <f>IF(F707=0,"",G707/F707)</f>
        <v/>
      </c>
    </row>
    <row r="708">
      <c r="A708" s="7" t="inlineStr">
        <is>
          <t>Simulado 01</t>
        </is>
      </c>
      <c r="B708" s="8" t="n">
        <v>37</v>
      </c>
      <c r="C708" s="8" t="inlineStr">
        <is>
          <t>11ª Fase</t>
        </is>
      </c>
      <c r="D708" s="8" t="inlineStr">
        <is>
          <t>D</t>
        </is>
      </c>
      <c r="E708" s="8" t="inlineStr">
        <is>
          <t>Não</t>
        </is>
      </c>
      <c r="F708" s="8" t="n">
        <v>27</v>
      </c>
      <c r="G708" s="8" t="n">
        <v>0</v>
      </c>
      <c r="H708" s="9">
        <f>IF(F708=0,"",G708/F708)</f>
        <v/>
      </c>
    </row>
    <row r="709">
      <c r="A709" s="10" t="inlineStr">
        <is>
          <t>Simulado 01</t>
        </is>
      </c>
      <c r="B709" s="11" t="n">
        <v>37</v>
      </c>
      <c r="C709" s="11" t="inlineStr">
        <is>
          <t>11ª Fase</t>
        </is>
      </c>
      <c r="D709" s="11" t="inlineStr">
        <is>
          <t>E</t>
        </is>
      </c>
      <c r="E709" s="11" t="inlineStr">
        <is>
          <t>Não</t>
        </is>
      </c>
      <c r="F709" s="11" t="n">
        <v>27</v>
      </c>
      <c r="G709" s="11" t="n">
        <v>2</v>
      </c>
      <c r="H709" s="12">
        <f>IF(F709=0,"",G709/F709)</f>
        <v/>
      </c>
    </row>
    <row r="710">
      <c r="A710" s="7" t="inlineStr">
        <is>
          <t>Simulado 01</t>
        </is>
      </c>
      <c r="B710" s="8" t="n">
        <v>38</v>
      </c>
      <c r="C710" s="8" t="inlineStr">
        <is>
          <t>6ª Fase</t>
        </is>
      </c>
      <c r="D710" s="8" t="inlineStr">
        <is>
          <t>A</t>
        </is>
      </c>
      <c r="E710" s="8" t="inlineStr">
        <is>
          <t>Não</t>
        </is>
      </c>
      <c r="F710" s="8" t="n">
        <v>27</v>
      </c>
      <c r="G710" s="8" t="n">
        <v>1</v>
      </c>
      <c r="H710" s="9">
        <f>IF(F710=0,"",G710/F710)</f>
        <v/>
      </c>
    </row>
    <row r="711">
      <c r="A711" s="10" t="inlineStr">
        <is>
          <t>Simulado 01</t>
        </is>
      </c>
      <c r="B711" s="11" t="n">
        <v>38</v>
      </c>
      <c r="C711" s="11" t="inlineStr">
        <is>
          <t>6ª Fase</t>
        </is>
      </c>
      <c r="D711" s="11" t="inlineStr">
        <is>
          <t>B</t>
        </is>
      </c>
      <c r="E711" s="11" t="inlineStr">
        <is>
          <t>Não</t>
        </is>
      </c>
      <c r="F711" s="11" t="n">
        <v>27</v>
      </c>
      <c r="G711" s="11" t="n">
        <v>0</v>
      </c>
      <c r="H711" s="12">
        <f>IF(F711=0,"",G711/F711)</f>
        <v/>
      </c>
    </row>
    <row r="712">
      <c r="A712" s="7" t="inlineStr">
        <is>
          <t>Simulado 01</t>
        </is>
      </c>
      <c r="B712" s="8" t="n">
        <v>38</v>
      </c>
      <c r="C712" s="8" t="inlineStr">
        <is>
          <t>6ª Fase</t>
        </is>
      </c>
      <c r="D712" s="8" t="inlineStr">
        <is>
          <t>C</t>
        </is>
      </c>
      <c r="E712" s="8" t="inlineStr">
        <is>
          <t>Não</t>
        </is>
      </c>
      <c r="F712" s="8" t="n">
        <v>27</v>
      </c>
      <c r="G712" s="8" t="n">
        <v>3</v>
      </c>
      <c r="H712" s="9">
        <f>IF(F712=0,"",G712/F712)</f>
        <v/>
      </c>
    </row>
    <row r="713">
      <c r="A713" s="10" t="inlineStr">
        <is>
          <t>Simulado 01</t>
        </is>
      </c>
      <c r="B713" s="11" t="n">
        <v>38</v>
      </c>
      <c r="C713" s="11" t="inlineStr">
        <is>
          <t>6ª Fase</t>
        </is>
      </c>
      <c r="D713" s="11" t="inlineStr">
        <is>
          <t>D</t>
        </is>
      </c>
      <c r="E713" s="11" t="inlineStr">
        <is>
          <t>Não</t>
        </is>
      </c>
      <c r="F713" s="11" t="n">
        <v>27</v>
      </c>
      <c r="G713" s="11" t="n">
        <v>4</v>
      </c>
      <c r="H713" s="12">
        <f>IF(F713=0,"",G713/F713)</f>
        <v/>
      </c>
    </row>
    <row r="714">
      <c r="A714" s="7" t="inlineStr">
        <is>
          <t>Simulado 01</t>
        </is>
      </c>
      <c r="B714" s="8" t="n">
        <v>38</v>
      </c>
      <c r="C714" s="8" t="inlineStr">
        <is>
          <t>6ª Fase</t>
        </is>
      </c>
      <c r="D714" s="8" t="inlineStr">
        <is>
          <t>E</t>
        </is>
      </c>
      <c r="E714" s="8" t="inlineStr">
        <is>
          <t>Sim</t>
        </is>
      </c>
      <c r="F714" s="8" t="n">
        <v>27</v>
      </c>
      <c r="G714" s="8" t="n">
        <v>19</v>
      </c>
      <c r="H714" s="9">
        <f>IF(F714=0,"",G714/F714)</f>
        <v/>
      </c>
    </row>
    <row r="715">
      <c r="A715" s="10" t="inlineStr">
        <is>
          <t>Simulado 01</t>
        </is>
      </c>
      <c r="B715" s="11" t="n">
        <v>38</v>
      </c>
      <c r="C715" s="11" t="inlineStr">
        <is>
          <t>7ª Fase</t>
        </is>
      </c>
      <c r="D715" s="11" t="inlineStr">
        <is>
          <t>A</t>
        </is>
      </c>
      <c r="E715" s="11" t="inlineStr">
        <is>
          <t>Não</t>
        </is>
      </c>
      <c r="F715" s="11" t="n">
        <v>33</v>
      </c>
      <c r="G715" s="11" t="n">
        <v>1</v>
      </c>
      <c r="H715" s="12">
        <f>IF(F715=0,"",G715/F715)</f>
        <v/>
      </c>
    </row>
    <row r="716">
      <c r="A716" s="7" t="inlineStr">
        <is>
          <t>Simulado 01</t>
        </is>
      </c>
      <c r="B716" s="8" t="n">
        <v>38</v>
      </c>
      <c r="C716" s="8" t="inlineStr">
        <is>
          <t>7ª Fase</t>
        </is>
      </c>
      <c r="D716" s="8" t="inlineStr">
        <is>
          <t>B</t>
        </is>
      </c>
      <c r="E716" s="8" t="inlineStr">
        <is>
          <t>Não</t>
        </is>
      </c>
      <c r="F716" s="8" t="n">
        <v>33</v>
      </c>
      <c r="G716" s="8" t="n">
        <v>1</v>
      </c>
      <c r="H716" s="9">
        <f>IF(F716=0,"",G716/F716)</f>
        <v/>
      </c>
    </row>
    <row r="717">
      <c r="A717" s="10" t="inlineStr">
        <is>
          <t>Simulado 01</t>
        </is>
      </c>
      <c r="B717" s="11" t="n">
        <v>38</v>
      </c>
      <c r="C717" s="11" t="inlineStr">
        <is>
          <t>7ª Fase</t>
        </is>
      </c>
      <c r="D717" s="11" t="inlineStr">
        <is>
          <t>C</t>
        </is>
      </c>
      <c r="E717" s="11" t="inlineStr">
        <is>
          <t>Não</t>
        </is>
      </c>
      <c r="F717" s="11" t="n">
        <v>33</v>
      </c>
      <c r="G717" s="11" t="n">
        <v>10</v>
      </c>
      <c r="H717" s="12">
        <f>IF(F717=0,"",G717/F717)</f>
        <v/>
      </c>
    </row>
    <row r="718">
      <c r="A718" s="7" t="inlineStr">
        <is>
          <t>Simulado 01</t>
        </is>
      </c>
      <c r="B718" s="8" t="n">
        <v>38</v>
      </c>
      <c r="C718" s="8" t="inlineStr">
        <is>
          <t>7ª Fase</t>
        </is>
      </c>
      <c r="D718" s="8" t="inlineStr">
        <is>
          <t>D</t>
        </is>
      </c>
      <c r="E718" s="8" t="inlineStr">
        <is>
          <t>Não</t>
        </is>
      </c>
      <c r="F718" s="8" t="n">
        <v>33</v>
      </c>
      <c r="G718" s="8" t="n">
        <v>6</v>
      </c>
      <c r="H718" s="9">
        <f>IF(F718=0,"",G718/F718)</f>
        <v/>
      </c>
    </row>
    <row r="719">
      <c r="A719" s="10" t="inlineStr">
        <is>
          <t>Simulado 01</t>
        </is>
      </c>
      <c r="B719" s="11" t="n">
        <v>38</v>
      </c>
      <c r="C719" s="11" t="inlineStr">
        <is>
          <t>7ª Fase</t>
        </is>
      </c>
      <c r="D719" s="11" t="inlineStr">
        <is>
          <t>E</t>
        </is>
      </c>
      <c r="E719" s="11" t="inlineStr">
        <is>
          <t>Sim</t>
        </is>
      </c>
      <c r="F719" s="11" t="n">
        <v>33</v>
      </c>
      <c r="G719" s="11" t="n">
        <v>15</v>
      </c>
      <c r="H719" s="12">
        <f>IF(F719=0,"",G719/F719)</f>
        <v/>
      </c>
    </row>
    <row r="720">
      <c r="A720" s="7" t="inlineStr">
        <is>
          <t>Simulado 01</t>
        </is>
      </c>
      <c r="B720" s="8" t="n">
        <v>38</v>
      </c>
      <c r="C720" s="8" t="inlineStr">
        <is>
          <t>10ª Fase</t>
        </is>
      </c>
      <c r="D720" s="8" t="inlineStr">
        <is>
          <t>A</t>
        </is>
      </c>
      <c r="E720" s="8" t="inlineStr">
        <is>
          <t>Não</t>
        </is>
      </c>
      <c r="F720" s="8" t="n">
        <v>31</v>
      </c>
      <c r="G720" s="8" t="n">
        <v>1</v>
      </c>
      <c r="H720" s="9">
        <f>IF(F720=0,"",G720/F720)</f>
        <v/>
      </c>
    </row>
    <row r="721">
      <c r="A721" s="10" t="inlineStr">
        <is>
          <t>Simulado 01</t>
        </is>
      </c>
      <c r="B721" s="11" t="n">
        <v>38</v>
      </c>
      <c r="C721" s="11" t="inlineStr">
        <is>
          <t>10ª Fase</t>
        </is>
      </c>
      <c r="D721" s="11" t="inlineStr">
        <is>
          <t>B</t>
        </is>
      </c>
      <c r="E721" s="11" t="inlineStr">
        <is>
          <t>Não</t>
        </is>
      </c>
      <c r="F721" s="11" t="n">
        <v>31</v>
      </c>
      <c r="G721" s="11" t="n">
        <v>0</v>
      </c>
      <c r="H721" s="12">
        <f>IF(F721=0,"",G721/F721)</f>
        <v/>
      </c>
    </row>
    <row r="722">
      <c r="A722" s="7" t="inlineStr">
        <is>
          <t>Simulado 01</t>
        </is>
      </c>
      <c r="B722" s="8" t="n">
        <v>38</v>
      </c>
      <c r="C722" s="8" t="inlineStr">
        <is>
          <t>10ª Fase</t>
        </is>
      </c>
      <c r="D722" s="8" t="inlineStr">
        <is>
          <t>C</t>
        </is>
      </c>
      <c r="E722" s="8" t="inlineStr">
        <is>
          <t>Não</t>
        </is>
      </c>
      <c r="F722" s="8" t="n">
        <v>31</v>
      </c>
      <c r="G722" s="8" t="n">
        <v>5</v>
      </c>
      <c r="H722" s="9">
        <f>IF(F722=0,"",G722/F722)</f>
        <v/>
      </c>
    </row>
    <row r="723">
      <c r="A723" s="10" t="inlineStr">
        <is>
          <t>Simulado 01</t>
        </is>
      </c>
      <c r="B723" s="11" t="n">
        <v>38</v>
      </c>
      <c r="C723" s="11" t="inlineStr">
        <is>
          <t>10ª Fase</t>
        </is>
      </c>
      <c r="D723" s="11" t="inlineStr">
        <is>
          <t>D</t>
        </is>
      </c>
      <c r="E723" s="11" t="inlineStr">
        <is>
          <t>Não</t>
        </is>
      </c>
      <c r="F723" s="11" t="n">
        <v>31</v>
      </c>
      <c r="G723" s="11" t="n">
        <v>9</v>
      </c>
      <c r="H723" s="12">
        <f>IF(F723=0,"",G723/F723)</f>
        <v/>
      </c>
    </row>
    <row r="724">
      <c r="A724" s="7" t="inlineStr">
        <is>
          <t>Simulado 01</t>
        </is>
      </c>
      <c r="B724" s="8" t="n">
        <v>38</v>
      </c>
      <c r="C724" s="8" t="inlineStr">
        <is>
          <t>10ª Fase</t>
        </is>
      </c>
      <c r="D724" s="8" t="inlineStr">
        <is>
          <t>E</t>
        </is>
      </c>
      <c r="E724" s="8" t="inlineStr">
        <is>
          <t>Sim</t>
        </is>
      </c>
      <c r="F724" s="8" t="n">
        <v>31</v>
      </c>
      <c r="G724" s="8" t="n">
        <v>16</v>
      </c>
      <c r="H724" s="9">
        <f>IF(F724=0,"",G724/F724)</f>
        <v/>
      </c>
    </row>
    <row r="725">
      <c r="A725" s="10" t="inlineStr">
        <is>
          <t>Simulado 01</t>
        </is>
      </c>
      <c r="B725" s="11" t="n">
        <v>38</v>
      </c>
      <c r="C725" s="11" t="inlineStr">
        <is>
          <t>11ª Fase</t>
        </is>
      </c>
      <c r="D725" s="11" t="inlineStr">
        <is>
          <t>A</t>
        </is>
      </c>
      <c r="E725" s="11" t="inlineStr">
        <is>
          <t>Não</t>
        </is>
      </c>
      <c r="F725" s="11" t="n">
        <v>27</v>
      </c>
      <c r="G725" s="11" t="n">
        <v>0</v>
      </c>
      <c r="H725" s="12">
        <f>IF(F725=0,"",G725/F725)</f>
        <v/>
      </c>
    </row>
    <row r="726">
      <c r="A726" s="7" t="inlineStr">
        <is>
          <t>Simulado 01</t>
        </is>
      </c>
      <c r="B726" s="8" t="n">
        <v>38</v>
      </c>
      <c r="C726" s="8" t="inlineStr">
        <is>
          <t>11ª Fase</t>
        </is>
      </c>
      <c r="D726" s="8" t="inlineStr">
        <is>
          <t>B</t>
        </is>
      </c>
      <c r="E726" s="8" t="inlineStr">
        <is>
          <t>Não</t>
        </is>
      </c>
      <c r="F726" s="8" t="n">
        <v>27</v>
      </c>
      <c r="G726" s="8" t="n">
        <v>0</v>
      </c>
      <c r="H726" s="9">
        <f>IF(F726=0,"",G726/F726)</f>
        <v/>
      </c>
    </row>
    <row r="727">
      <c r="A727" s="10" t="inlineStr">
        <is>
          <t>Simulado 01</t>
        </is>
      </c>
      <c r="B727" s="11" t="n">
        <v>38</v>
      </c>
      <c r="C727" s="11" t="inlineStr">
        <is>
          <t>11ª Fase</t>
        </is>
      </c>
      <c r="D727" s="11" t="inlineStr">
        <is>
          <t>C</t>
        </is>
      </c>
      <c r="E727" s="11" t="inlineStr">
        <is>
          <t>Não</t>
        </is>
      </c>
      <c r="F727" s="11" t="n">
        <v>27</v>
      </c>
      <c r="G727" s="11" t="n">
        <v>3</v>
      </c>
      <c r="H727" s="12">
        <f>IF(F727=0,"",G727/F727)</f>
        <v/>
      </c>
    </row>
    <row r="728">
      <c r="A728" s="7" t="inlineStr">
        <is>
          <t>Simulado 01</t>
        </is>
      </c>
      <c r="B728" s="8" t="n">
        <v>38</v>
      </c>
      <c r="C728" s="8" t="inlineStr">
        <is>
          <t>11ª Fase</t>
        </is>
      </c>
      <c r="D728" s="8" t="inlineStr">
        <is>
          <t>D</t>
        </is>
      </c>
      <c r="E728" s="8" t="inlineStr">
        <is>
          <t>Não</t>
        </is>
      </c>
      <c r="F728" s="8" t="n">
        <v>27</v>
      </c>
      <c r="G728" s="8" t="n">
        <v>8</v>
      </c>
      <c r="H728" s="9">
        <f>IF(F728=0,"",G728/F728)</f>
        <v/>
      </c>
    </row>
    <row r="729">
      <c r="A729" s="10" t="inlineStr">
        <is>
          <t>Simulado 01</t>
        </is>
      </c>
      <c r="B729" s="11" t="n">
        <v>38</v>
      </c>
      <c r="C729" s="11" t="inlineStr">
        <is>
          <t>11ª Fase</t>
        </is>
      </c>
      <c r="D729" s="11" t="inlineStr">
        <is>
          <t>E</t>
        </is>
      </c>
      <c r="E729" s="11" t="inlineStr">
        <is>
          <t>Sim</t>
        </is>
      </c>
      <c r="F729" s="11" t="n">
        <v>27</v>
      </c>
      <c r="G729" s="11" t="n">
        <v>16</v>
      </c>
      <c r="H729" s="12">
        <f>IF(F729=0,"",G729/F729)</f>
        <v/>
      </c>
    </row>
    <row r="730">
      <c r="A730" s="7" t="inlineStr">
        <is>
          <t>Simulado 01</t>
        </is>
      </c>
      <c r="B730" s="8" t="n">
        <v>39</v>
      </c>
      <c r="C730" s="8" t="inlineStr">
        <is>
          <t>6ª Fase</t>
        </is>
      </c>
      <c r="D730" s="8" t="inlineStr">
        <is>
          <t>A</t>
        </is>
      </c>
      <c r="E730" s="8" t="inlineStr">
        <is>
          <t>Não</t>
        </is>
      </c>
      <c r="F730" s="8" t="n">
        <v>27</v>
      </c>
      <c r="G730" s="8" t="n">
        <v>1</v>
      </c>
      <c r="H730" s="9">
        <f>IF(F730=0,"",G730/F730)</f>
        <v/>
      </c>
    </row>
    <row r="731">
      <c r="A731" s="10" t="inlineStr">
        <is>
          <t>Simulado 01</t>
        </is>
      </c>
      <c r="B731" s="11" t="n">
        <v>39</v>
      </c>
      <c r="C731" s="11" t="inlineStr">
        <is>
          <t>6ª Fase</t>
        </is>
      </c>
      <c r="D731" s="11" t="inlineStr">
        <is>
          <t>B</t>
        </is>
      </c>
      <c r="E731" s="11" t="inlineStr">
        <is>
          <t>Não</t>
        </is>
      </c>
      <c r="F731" s="11" t="n">
        <v>27</v>
      </c>
      <c r="G731" s="11" t="n">
        <v>11</v>
      </c>
      <c r="H731" s="12">
        <f>IF(F731=0,"",G731/F731)</f>
        <v/>
      </c>
    </row>
    <row r="732">
      <c r="A732" s="7" t="inlineStr">
        <is>
          <t>Simulado 01</t>
        </is>
      </c>
      <c r="B732" s="8" t="n">
        <v>39</v>
      </c>
      <c r="C732" s="8" t="inlineStr">
        <is>
          <t>6ª Fase</t>
        </is>
      </c>
      <c r="D732" s="8" t="inlineStr">
        <is>
          <t>C</t>
        </is>
      </c>
      <c r="E732" s="8" t="inlineStr">
        <is>
          <t>Não</t>
        </is>
      </c>
      <c r="F732" s="8" t="n">
        <v>27</v>
      </c>
      <c r="G732" s="8" t="n">
        <v>1</v>
      </c>
      <c r="H732" s="9">
        <f>IF(F732=0,"",G732/F732)</f>
        <v/>
      </c>
    </row>
    <row r="733">
      <c r="A733" s="10" t="inlineStr">
        <is>
          <t>Simulado 01</t>
        </is>
      </c>
      <c r="B733" s="11" t="n">
        <v>39</v>
      </c>
      <c r="C733" s="11" t="inlineStr">
        <is>
          <t>6ª Fase</t>
        </is>
      </c>
      <c r="D733" s="11" t="inlineStr">
        <is>
          <t>D</t>
        </is>
      </c>
      <c r="E733" s="11" t="inlineStr">
        <is>
          <t>Não</t>
        </is>
      </c>
      <c r="F733" s="11" t="n">
        <v>27</v>
      </c>
      <c r="G733" s="11" t="n">
        <v>0</v>
      </c>
      <c r="H733" s="12">
        <f>IF(F733=0,"",G733/F733)</f>
        <v/>
      </c>
    </row>
    <row r="734">
      <c r="A734" s="7" t="inlineStr">
        <is>
          <t>Simulado 01</t>
        </is>
      </c>
      <c r="B734" s="8" t="n">
        <v>39</v>
      </c>
      <c r="C734" s="8" t="inlineStr">
        <is>
          <t>6ª Fase</t>
        </is>
      </c>
      <c r="D734" s="8" t="inlineStr">
        <is>
          <t>E</t>
        </is>
      </c>
      <c r="E734" s="8" t="inlineStr">
        <is>
          <t>Sim</t>
        </is>
      </c>
      <c r="F734" s="8" t="n">
        <v>27</v>
      </c>
      <c r="G734" s="8" t="n">
        <v>14</v>
      </c>
      <c r="H734" s="9">
        <f>IF(F734=0,"",G734/F734)</f>
        <v/>
      </c>
    </row>
    <row r="735">
      <c r="A735" s="10" t="inlineStr">
        <is>
          <t>Simulado 01</t>
        </is>
      </c>
      <c r="B735" s="11" t="n">
        <v>39</v>
      </c>
      <c r="C735" s="11" t="inlineStr">
        <is>
          <t>7ª Fase</t>
        </is>
      </c>
      <c r="D735" s="11" t="inlineStr">
        <is>
          <t>A</t>
        </is>
      </c>
      <c r="E735" s="11" t="inlineStr">
        <is>
          <t>Não</t>
        </is>
      </c>
      <c r="F735" s="11" t="n">
        <v>33</v>
      </c>
      <c r="G735" s="11" t="n">
        <v>1</v>
      </c>
      <c r="H735" s="12">
        <f>IF(F735=0,"",G735/F735)</f>
        <v/>
      </c>
    </row>
    <row r="736">
      <c r="A736" s="7" t="inlineStr">
        <is>
          <t>Simulado 01</t>
        </is>
      </c>
      <c r="B736" s="8" t="n">
        <v>39</v>
      </c>
      <c r="C736" s="8" t="inlineStr">
        <is>
          <t>7ª Fase</t>
        </is>
      </c>
      <c r="D736" s="8" t="inlineStr">
        <is>
          <t>B</t>
        </is>
      </c>
      <c r="E736" s="8" t="inlineStr">
        <is>
          <t>Não</t>
        </is>
      </c>
      <c r="F736" s="8" t="n">
        <v>33</v>
      </c>
      <c r="G736" s="8" t="n">
        <v>3</v>
      </c>
      <c r="H736" s="9">
        <f>IF(F736=0,"",G736/F736)</f>
        <v/>
      </c>
    </row>
    <row r="737">
      <c r="A737" s="10" t="inlineStr">
        <is>
          <t>Simulado 01</t>
        </is>
      </c>
      <c r="B737" s="11" t="n">
        <v>39</v>
      </c>
      <c r="C737" s="11" t="inlineStr">
        <is>
          <t>7ª Fase</t>
        </is>
      </c>
      <c r="D737" s="11" t="inlineStr">
        <is>
          <t>C</t>
        </is>
      </c>
      <c r="E737" s="11" t="inlineStr">
        <is>
          <t>Não</t>
        </is>
      </c>
      <c r="F737" s="11" t="n">
        <v>33</v>
      </c>
      <c r="G737" s="11" t="n">
        <v>1</v>
      </c>
      <c r="H737" s="12">
        <f>IF(F737=0,"",G737/F737)</f>
        <v/>
      </c>
    </row>
    <row r="738">
      <c r="A738" s="7" t="inlineStr">
        <is>
          <t>Simulado 01</t>
        </is>
      </c>
      <c r="B738" s="8" t="n">
        <v>39</v>
      </c>
      <c r="C738" s="8" t="inlineStr">
        <is>
          <t>7ª Fase</t>
        </is>
      </c>
      <c r="D738" s="8" t="inlineStr">
        <is>
          <t>D</t>
        </is>
      </c>
      <c r="E738" s="8" t="inlineStr">
        <is>
          <t>Não</t>
        </is>
      </c>
      <c r="F738" s="8" t="n">
        <v>33</v>
      </c>
      <c r="G738" s="8" t="n">
        <v>5</v>
      </c>
      <c r="H738" s="9">
        <f>IF(F738=0,"",G738/F738)</f>
        <v/>
      </c>
    </row>
    <row r="739">
      <c r="A739" s="10" t="inlineStr">
        <is>
          <t>Simulado 01</t>
        </is>
      </c>
      <c r="B739" s="11" t="n">
        <v>39</v>
      </c>
      <c r="C739" s="11" t="inlineStr">
        <is>
          <t>7ª Fase</t>
        </is>
      </c>
      <c r="D739" s="11" t="inlineStr">
        <is>
          <t>E</t>
        </is>
      </c>
      <c r="E739" s="11" t="inlineStr">
        <is>
          <t>Sim</t>
        </is>
      </c>
      <c r="F739" s="11" t="n">
        <v>33</v>
      </c>
      <c r="G739" s="11" t="n">
        <v>23</v>
      </c>
      <c r="H739" s="12">
        <f>IF(F739=0,"",G739/F739)</f>
        <v/>
      </c>
    </row>
    <row r="740">
      <c r="A740" s="7" t="inlineStr">
        <is>
          <t>Simulado 01</t>
        </is>
      </c>
      <c r="B740" s="8" t="n">
        <v>39</v>
      </c>
      <c r="C740" s="8" t="inlineStr">
        <is>
          <t>10ª Fase</t>
        </is>
      </c>
      <c r="D740" s="8" t="inlineStr">
        <is>
          <t>A</t>
        </is>
      </c>
      <c r="E740" s="8" t="inlineStr">
        <is>
          <t>Não</t>
        </is>
      </c>
      <c r="F740" s="8" t="n">
        <v>31</v>
      </c>
      <c r="G740" s="8" t="n">
        <v>0</v>
      </c>
      <c r="H740" s="9">
        <f>IF(F740=0,"",G740/F740)</f>
        <v/>
      </c>
    </row>
    <row r="741">
      <c r="A741" s="10" t="inlineStr">
        <is>
          <t>Simulado 01</t>
        </is>
      </c>
      <c r="B741" s="11" t="n">
        <v>39</v>
      </c>
      <c r="C741" s="11" t="inlineStr">
        <is>
          <t>10ª Fase</t>
        </is>
      </c>
      <c r="D741" s="11" t="inlineStr">
        <is>
          <t>B</t>
        </is>
      </c>
      <c r="E741" s="11" t="inlineStr">
        <is>
          <t>Não</t>
        </is>
      </c>
      <c r="F741" s="11" t="n">
        <v>31</v>
      </c>
      <c r="G741" s="11" t="n">
        <v>5</v>
      </c>
      <c r="H741" s="12">
        <f>IF(F741=0,"",G741/F741)</f>
        <v/>
      </c>
    </row>
    <row r="742">
      <c r="A742" s="7" t="inlineStr">
        <is>
          <t>Simulado 01</t>
        </is>
      </c>
      <c r="B742" s="8" t="n">
        <v>39</v>
      </c>
      <c r="C742" s="8" t="inlineStr">
        <is>
          <t>10ª Fase</t>
        </is>
      </c>
      <c r="D742" s="8" t="inlineStr">
        <is>
          <t>C</t>
        </is>
      </c>
      <c r="E742" s="8" t="inlineStr">
        <is>
          <t>Não</t>
        </is>
      </c>
      <c r="F742" s="8" t="n">
        <v>31</v>
      </c>
      <c r="G742" s="8" t="n">
        <v>1</v>
      </c>
      <c r="H742" s="9">
        <f>IF(F742=0,"",G742/F742)</f>
        <v/>
      </c>
    </row>
    <row r="743">
      <c r="A743" s="10" t="inlineStr">
        <is>
          <t>Simulado 01</t>
        </is>
      </c>
      <c r="B743" s="11" t="n">
        <v>39</v>
      </c>
      <c r="C743" s="11" t="inlineStr">
        <is>
          <t>10ª Fase</t>
        </is>
      </c>
      <c r="D743" s="11" t="inlineStr">
        <is>
          <t>D</t>
        </is>
      </c>
      <c r="E743" s="11" t="inlineStr">
        <is>
          <t>Não</t>
        </is>
      </c>
      <c r="F743" s="11" t="n">
        <v>31</v>
      </c>
      <c r="G743" s="11" t="n">
        <v>3</v>
      </c>
      <c r="H743" s="12">
        <f>IF(F743=0,"",G743/F743)</f>
        <v/>
      </c>
    </row>
    <row r="744">
      <c r="A744" s="7" t="inlineStr">
        <is>
          <t>Simulado 01</t>
        </is>
      </c>
      <c r="B744" s="8" t="n">
        <v>39</v>
      </c>
      <c r="C744" s="8" t="inlineStr">
        <is>
          <t>10ª Fase</t>
        </is>
      </c>
      <c r="D744" s="8" t="inlineStr">
        <is>
          <t>E</t>
        </is>
      </c>
      <c r="E744" s="8" t="inlineStr">
        <is>
          <t>Sim</t>
        </is>
      </c>
      <c r="F744" s="8" t="n">
        <v>31</v>
      </c>
      <c r="G744" s="8" t="n">
        <v>22</v>
      </c>
      <c r="H744" s="9">
        <f>IF(F744=0,"",G744/F744)</f>
        <v/>
      </c>
    </row>
    <row r="745">
      <c r="A745" s="10" t="inlineStr">
        <is>
          <t>Simulado 01</t>
        </is>
      </c>
      <c r="B745" s="11" t="n">
        <v>39</v>
      </c>
      <c r="C745" s="11" t="inlineStr">
        <is>
          <t>11ª Fase</t>
        </is>
      </c>
      <c r="D745" s="11" t="inlineStr">
        <is>
          <t>A</t>
        </is>
      </c>
      <c r="E745" s="11" t="inlineStr">
        <is>
          <t>Não</t>
        </is>
      </c>
      <c r="F745" s="11" t="n">
        <v>27</v>
      </c>
      <c r="G745" s="11" t="n">
        <v>0</v>
      </c>
      <c r="H745" s="12">
        <f>IF(F745=0,"",G745/F745)</f>
        <v/>
      </c>
    </row>
    <row r="746">
      <c r="A746" s="7" t="inlineStr">
        <is>
          <t>Simulado 01</t>
        </is>
      </c>
      <c r="B746" s="8" t="n">
        <v>39</v>
      </c>
      <c r="C746" s="8" t="inlineStr">
        <is>
          <t>11ª Fase</t>
        </is>
      </c>
      <c r="D746" s="8" t="inlineStr">
        <is>
          <t>B</t>
        </is>
      </c>
      <c r="E746" s="8" t="inlineStr">
        <is>
          <t>Não</t>
        </is>
      </c>
      <c r="F746" s="8" t="n">
        <v>27</v>
      </c>
      <c r="G746" s="8" t="n">
        <v>4</v>
      </c>
      <c r="H746" s="9">
        <f>IF(F746=0,"",G746/F746)</f>
        <v/>
      </c>
    </row>
    <row r="747">
      <c r="A747" s="10" t="inlineStr">
        <is>
          <t>Simulado 01</t>
        </is>
      </c>
      <c r="B747" s="11" t="n">
        <v>39</v>
      </c>
      <c r="C747" s="11" t="inlineStr">
        <is>
          <t>11ª Fase</t>
        </is>
      </c>
      <c r="D747" s="11" t="inlineStr">
        <is>
          <t>C</t>
        </is>
      </c>
      <c r="E747" s="11" t="inlineStr">
        <is>
          <t>Não</t>
        </is>
      </c>
      <c r="F747" s="11" t="n">
        <v>27</v>
      </c>
      <c r="G747" s="11" t="n">
        <v>1</v>
      </c>
      <c r="H747" s="12">
        <f>IF(F747=0,"",G747/F747)</f>
        <v/>
      </c>
    </row>
    <row r="748">
      <c r="A748" s="7" t="inlineStr">
        <is>
          <t>Simulado 01</t>
        </is>
      </c>
      <c r="B748" s="8" t="n">
        <v>39</v>
      </c>
      <c r="C748" s="8" t="inlineStr">
        <is>
          <t>11ª Fase</t>
        </is>
      </c>
      <c r="D748" s="8" t="inlineStr">
        <is>
          <t>D</t>
        </is>
      </c>
      <c r="E748" s="8" t="inlineStr">
        <is>
          <t>Não</t>
        </is>
      </c>
      <c r="F748" s="8" t="n">
        <v>27</v>
      </c>
      <c r="G748" s="8" t="n">
        <v>3</v>
      </c>
      <c r="H748" s="9">
        <f>IF(F748=0,"",G748/F748)</f>
        <v/>
      </c>
    </row>
    <row r="749">
      <c r="A749" s="10" t="inlineStr">
        <is>
          <t>Simulado 01</t>
        </is>
      </c>
      <c r="B749" s="11" t="n">
        <v>39</v>
      </c>
      <c r="C749" s="11" t="inlineStr">
        <is>
          <t>11ª Fase</t>
        </is>
      </c>
      <c r="D749" s="11" t="inlineStr">
        <is>
          <t>E</t>
        </is>
      </c>
      <c r="E749" s="11" t="inlineStr">
        <is>
          <t>Sim</t>
        </is>
      </c>
      <c r="F749" s="11" t="n">
        <v>27</v>
      </c>
      <c r="G749" s="11" t="n">
        <v>19</v>
      </c>
      <c r="H749" s="12">
        <f>IF(F749=0,"",G749/F749)</f>
        <v/>
      </c>
    </row>
    <row r="750">
      <c r="A750" s="7" t="inlineStr">
        <is>
          <t>Simulado 01</t>
        </is>
      </c>
      <c r="B750" s="8" t="n">
        <v>40</v>
      </c>
      <c r="C750" s="8" t="inlineStr">
        <is>
          <t>6ª Fase</t>
        </is>
      </c>
      <c r="D750" s="8" t="inlineStr">
        <is>
          <t>A</t>
        </is>
      </c>
      <c r="E750" s="8" t="inlineStr">
        <is>
          <t>Não</t>
        </is>
      </c>
      <c r="F750" s="8" t="n">
        <v>27</v>
      </c>
      <c r="G750" s="8" t="n">
        <v>4</v>
      </c>
      <c r="H750" s="9">
        <f>IF(F750=0,"",G750/F750)</f>
        <v/>
      </c>
    </row>
    <row r="751">
      <c r="A751" s="10" t="inlineStr">
        <is>
          <t>Simulado 01</t>
        </is>
      </c>
      <c r="B751" s="11" t="n">
        <v>40</v>
      </c>
      <c r="C751" s="11" t="inlineStr">
        <is>
          <t>6ª Fase</t>
        </is>
      </c>
      <c r="D751" s="11" t="inlineStr">
        <is>
          <t>B</t>
        </is>
      </c>
      <c r="E751" s="11" t="inlineStr">
        <is>
          <t>Sim</t>
        </is>
      </c>
      <c r="F751" s="11" t="n">
        <v>27</v>
      </c>
      <c r="G751" s="11" t="n">
        <v>8</v>
      </c>
      <c r="H751" s="12">
        <f>IF(F751=0,"",G751/F751)</f>
        <v/>
      </c>
    </row>
    <row r="752">
      <c r="A752" s="7" t="inlineStr">
        <is>
          <t>Simulado 01</t>
        </is>
      </c>
      <c r="B752" s="8" t="n">
        <v>40</v>
      </c>
      <c r="C752" s="8" t="inlineStr">
        <is>
          <t>6ª Fase</t>
        </is>
      </c>
      <c r="D752" s="8" t="inlineStr">
        <is>
          <t>C</t>
        </is>
      </c>
      <c r="E752" s="8" t="inlineStr">
        <is>
          <t>Não</t>
        </is>
      </c>
      <c r="F752" s="8" t="n">
        <v>27</v>
      </c>
      <c r="G752" s="8" t="n">
        <v>8</v>
      </c>
      <c r="H752" s="9">
        <f>IF(F752=0,"",G752/F752)</f>
        <v/>
      </c>
    </row>
    <row r="753">
      <c r="A753" s="10" t="inlineStr">
        <is>
          <t>Simulado 01</t>
        </is>
      </c>
      <c r="B753" s="11" t="n">
        <v>40</v>
      </c>
      <c r="C753" s="11" t="inlineStr">
        <is>
          <t>6ª Fase</t>
        </is>
      </c>
      <c r="D753" s="11" t="inlineStr">
        <is>
          <t>D</t>
        </is>
      </c>
      <c r="E753" s="11" t="inlineStr">
        <is>
          <t>Não</t>
        </is>
      </c>
      <c r="F753" s="11" t="n">
        <v>27</v>
      </c>
      <c r="G753" s="11" t="n">
        <v>4</v>
      </c>
      <c r="H753" s="12">
        <f>IF(F753=0,"",G753/F753)</f>
        <v/>
      </c>
    </row>
    <row r="754">
      <c r="A754" s="7" t="inlineStr">
        <is>
          <t>Simulado 01</t>
        </is>
      </c>
      <c r="B754" s="8" t="n">
        <v>40</v>
      </c>
      <c r="C754" s="8" t="inlineStr">
        <is>
          <t>6ª Fase</t>
        </is>
      </c>
      <c r="D754" s="8" t="inlineStr">
        <is>
          <t>E</t>
        </is>
      </c>
      <c r="E754" s="8" t="inlineStr">
        <is>
          <t>Não</t>
        </is>
      </c>
      <c r="F754" s="8" t="n">
        <v>27</v>
      </c>
      <c r="G754" s="8" t="n">
        <v>3</v>
      </c>
      <c r="H754" s="9">
        <f>IF(F754=0,"",G754/F754)</f>
        <v/>
      </c>
    </row>
    <row r="755">
      <c r="A755" s="10" t="inlineStr">
        <is>
          <t>Simulado 01</t>
        </is>
      </c>
      <c r="B755" s="11" t="n">
        <v>40</v>
      </c>
      <c r="C755" s="11" t="inlineStr">
        <is>
          <t>7ª Fase</t>
        </is>
      </c>
      <c r="D755" s="11" t="inlineStr">
        <is>
          <t>A</t>
        </is>
      </c>
      <c r="E755" s="11" t="inlineStr">
        <is>
          <t>Não</t>
        </is>
      </c>
      <c r="F755" s="11" t="n">
        <v>33</v>
      </c>
      <c r="G755" s="11" t="n">
        <v>2</v>
      </c>
      <c r="H755" s="12">
        <f>IF(F755=0,"",G755/F755)</f>
        <v/>
      </c>
    </row>
    <row r="756">
      <c r="A756" s="7" t="inlineStr">
        <is>
          <t>Simulado 01</t>
        </is>
      </c>
      <c r="B756" s="8" t="n">
        <v>40</v>
      </c>
      <c r="C756" s="8" t="inlineStr">
        <is>
          <t>7ª Fase</t>
        </is>
      </c>
      <c r="D756" s="8" t="inlineStr">
        <is>
          <t>B</t>
        </is>
      </c>
      <c r="E756" s="8" t="inlineStr">
        <is>
          <t>Sim</t>
        </is>
      </c>
      <c r="F756" s="8" t="n">
        <v>33</v>
      </c>
      <c r="G756" s="8" t="n">
        <v>7</v>
      </c>
      <c r="H756" s="9">
        <f>IF(F756=0,"",G756/F756)</f>
        <v/>
      </c>
    </row>
    <row r="757">
      <c r="A757" s="10" t="inlineStr">
        <is>
          <t>Simulado 01</t>
        </is>
      </c>
      <c r="B757" s="11" t="n">
        <v>40</v>
      </c>
      <c r="C757" s="11" t="inlineStr">
        <is>
          <t>7ª Fase</t>
        </is>
      </c>
      <c r="D757" s="11" t="inlineStr">
        <is>
          <t>C</t>
        </is>
      </c>
      <c r="E757" s="11" t="inlineStr">
        <is>
          <t>Não</t>
        </is>
      </c>
      <c r="F757" s="11" t="n">
        <v>33</v>
      </c>
      <c r="G757" s="11" t="n">
        <v>10</v>
      </c>
      <c r="H757" s="12">
        <f>IF(F757=0,"",G757/F757)</f>
        <v/>
      </c>
    </row>
    <row r="758">
      <c r="A758" s="7" t="inlineStr">
        <is>
          <t>Simulado 01</t>
        </is>
      </c>
      <c r="B758" s="8" t="n">
        <v>40</v>
      </c>
      <c r="C758" s="8" t="inlineStr">
        <is>
          <t>7ª Fase</t>
        </is>
      </c>
      <c r="D758" s="8" t="inlineStr">
        <is>
          <t>D</t>
        </is>
      </c>
      <c r="E758" s="8" t="inlineStr">
        <is>
          <t>Não</t>
        </is>
      </c>
      <c r="F758" s="8" t="n">
        <v>33</v>
      </c>
      <c r="G758" s="8" t="n">
        <v>3</v>
      </c>
      <c r="H758" s="9">
        <f>IF(F758=0,"",G758/F758)</f>
        <v/>
      </c>
    </row>
    <row r="759">
      <c r="A759" s="10" t="inlineStr">
        <is>
          <t>Simulado 01</t>
        </is>
      </c>
      <c r="B759" s="11" t="n">
        <v>40</v>
      </c>
      <c r="C759" s="11" t="inlineStr">
        <is>
          <t>7ª Fase</t>
        </is>
      </c>
      <c r="D759" s="11" t="inlineStr">
        <is>
          <t>E</t>
        </is>
      </c>
      <c r="E759" s="11" t="inlineStr">
        <is>
          <t>Não</t>
        </is>
      </c>
      <c r="F759" s="11" t="n">
        <v>33</v>
      </c>
      <c r="G759" s="11" t="n">
        <v>11</v>
      </c>
      <c r="H759" s="12">
        <f>IF(F759=0,"",G759/F759)</f>
        <v/>
      </c>
    </row>
    <row r="760">
      <c r="A760" s="7" t="inlineStr">
        <is>
          <t>Simulado 01</t>
        </is>
      </c>
      <c r="B760" s="8" t="n">
        <v>40</v>
      </c>
      <c r="C760" s="8" t="inlineStr">
        <is>
          <t>10ª Fase</t>
        </is>
      </c>
      <c r="D760" s="8" t="inlineStr">
        <is>
          <t>A</t>
        </is>
      </c>
      <c r="E760" s="8" t="inlineStr">
        <is>
          <t>Não</t>
        </is>
      </c>
      <c r="F760" s="8" t="n">
        <v>31</v>
      </c>
      <c r="G760" s="8" t="n">
        <v>0</v>
      </c>
      <c r="H760" s="9">
        <f>IF(F760=0,"",G760/F760)</f>
        <v/>
      </c>
    </row>
    <row r="761">
      <c r="A761" s="10" t="inlineStr">
        <is>
          <t>Simulado 01</t>
        </is>
      </c>
      <c r="B761" s="11" t="n">
        <v>40</v>
      </c>
      <c r="C761" s="11" t="inlineStr">
        <is>
          <t>10ª Fase</t>
        </is>
      </c>
      <c r="D761" s="11" t="inlineStr">
        <is>
          <t>B</t>
        </is>
      </c>
      <c r="E761" s="11" t="inlineStr">
        <is>
          <t>Sim</t>
        </is>
      </c>
      <c r="F761" s="11" t="n">
        <v>31</v>
      </c>
      <c r="G761" s="11" t="n">
        <v>11</v>
      </c>
      <c r="H761" s="12">
        <f>IF(F761=0,"",G761/F761)</f>
        <v/>
      </c>
    </row>
    <row r="762">
      <c r="A762" s="7" t="inlineStr">
        <is>
          <t>Simulado 01</t>
        </is>
      </c>
      <c r="B762" s="8" t="n">
        <v>40</v>
      </c>
      <c r="C762" s="8" t="inlineStr">
        <is>
          <t>10ª Fase</t>
        </is>
      </c>
      <c r="D762" s="8" t="inlineStr">
        <is>
          <t>C</t>
        </is>
      </c>
      <c r="E762" s="8" t="inlineStr">
        <is>
          <t>Não</t>
        </is>
      </c>
      <c r="F762" s="8" t="n">
        <v>31</v>
      </c>
      <c r="G762" s="8" t="n">
        <v>8</v>
      </c>
      <c r="H762" s="9">
        <f>IF(F762=0,"",G762/F762)</f>
        <v/>
      </c>
    </row>
    <row r="763">
      <c r="A763" s="10" t="inlineStr">
        <is>
          <t>Simulado 01</t>
        </is>
      </c>
      <c r="B763" s="11" t="n">
        <v>40</v>
      </c>
      <c r="C763" s="11" t="inlineStr">
        <is>
          <t>10ª Fase</t>
        </is>
      </c>
      <c r="D763" s="11" t="inlineStr">
        <is>
          <t>D</t>
        </is>
      </c>
      <c r="E763" s="11" t="inlineStr">
        <is>
          <t>Não</t>
        </is>
      </c>
      <c r="F763" s="11" t="n">
        <v>31</v>
      </c>
      <c r="G763" s="11" t="n">
        <v>0</v>
      </c>
      <c r="H763" s="12">
        <f>IF(F763=0,"",G763/F763)</f>
        <v/>
      </c>
    </row>
    <row r="764">
      <c r="A764" s="7" t="inlineStr">
        <is>
          <t>Simulado 01</t>
        </is>
      </c>
      <c r="B764" s="8" t="n">
        <v>40</v>
      </c>
      <c r="C764" s="8" t="inlineStr">
        <is>
          <t>10ª Fase</t>
        </is>
      </c>
      <c r="D764" s="8" t="inlineStr">
        <is>
          <t>E</t>
        </is>
      </c>
      <c r="E764" s="8" t="inlineStr">
        <is>
          <t>Não</t>
        </is>
      </c>
      <c r="F764" s="8" t="n">
        <v>31</v>
      </c>
      <c r="G764" s="8" t="n">
        <v>12</v>
      </c>
      <c r="H764" s="9">
        <f>IF(F764=0,"",G764/F764)</f>
        <v/>
      </c>
    </row>
    <row r="765">
      <c r="A765" s="10" t="inlineStr">
        <is>
          <t>Simulado 01</t>
        </is>
      </c>
      <c r="B765" s="11" t="n">
        <v>40</v>
      </c>
      <c r="C765" s="11" t="inlineStr">
        <is>
          <t>11ª Fase</t>
        </is>
      </c>
      <c r="D765" s="11" t="inlineStr">
        <is>
          <t>A</t>
        </is>
      </c>
      <c r="E765" s="11" t="inlineStr">
        <is>
          <t>Não</t>
        </is>
      </c>
      <c r="F765" s="11" t="n">
        <v>27</v>
      </c>
      <c r="G765" s="11" t="n">
        <v>1</v>
      </c>
      <c r="H765" s="12">
        <f>IF(F765=0,"",G765/F765)</f>
        <v/>
      </c>
    </row>
    <row r="766">
      <c r="A766" s="7" t="inlineStr">
        <is>
          <t>Simulado 01</t>
        </is>
      </c>
      <c r="B766" s="8" t="n">
        <v>40</v>
      </c>
      <c r="C766" s="8" t="inlineStr">
        <is>
          <t>11ª Fase</t>
        </is>
      </c>
      <c r="D766" s="8" t="inlineStr">
        <is>
          <t>B</t>
        </is>
      </c>
      <c r="E766" s="8" t="inlineStr">
        <is>
          <t>Sim</t>
        </is>
      </c>
      <c r="F766" s="8" t="n">
        <v>27</v>
      </c>
      <c r="G766" s="8" t="n">
        <v>17</v>
      </c>
      <c r="H766" s="9">
        <f>IF(F766=0,"",G766/F766)</f>
        <v/>
      </c>
    </row>
    <row r="767">
      <c r="A767" s="10" t="inlineStr">
        <is>
          <t>Simulado 01</t>
        </is>
      </c>
      <c r="B767" s="11" t="n">
        <v>40</v>
      </c>
      <c r="C767" s="11" t="inlineStr">
        <is>
          <t>11ª Fase</t>
        </is>
      </c>
      <c r="D767" s="11" t="inlineStr">
        <is>
          <t>C</t>
        </is>
      </c>
      <c r="E767" s="11" t="inlineStr">
        <is>
          <t>Não</t>
        </is>
      </c>
      <c r="F767" s="11" t="n">
        <v>27</v>
      </c>
      <c r="G767" s="11" t="n">
        <v>3</v>
      </c>
      <c r="H767" s="12">
        <f>IF(F767=0,"",G767/F767)</f>
        <v/>
      </c>
    </row>
    <row r="768">
      <c r="A768" s="7" t="inlineStr">
        <is>
          <t>Simulado 01</t>
        </is>
      </c>
      <c r="B768" s="8" t="n">
        <v>40</v>
      </c>
      <c r="C768" s="8" t="inlineStr">
        <is>
          <t>11ª Fase</t>
        </is>
      </c>
      <c r="D768" s="8" t="inlineStr">
        <is>
          <t>D</t>
        </is>
      </c>
      <c r="E768" s="8" t="inlineStr">
        <is>
          <t>Não</t>
        </is>
      </c>
      <c r="F768" s="8" t="n">
        <v>27</v>
      </c>
      <c r="G768" s="8" t="n">
        <v>1</v>
      </c>
      <c r="H768" s="9">
        <f>IF(F768=0,"",G768/F768)</f>
        <v/>
      </c>
    </row>
    <row r="769">
      <c r="A769" s="10" t="inlineStr">
        <is>
          <t>Simulado 01</t>
        </is>
      </c>
      <c r="B769" s="11" t="n">
        <v>40</v>
      </c>
      <c r="C769" s="11" t="inlineStr">
        <is>
          <t>11ª Fase</t>
        </is>
      </c>
      <c r="D769" s="11" t="inlineStr">
        <is>
          <t>E</t>
        </is>
      </c>
      <c r="E769" s="11" t="inlineStr">
        <is>
          <t>Não</t>
        </is>
      </c>
      <c r="F769" s="11" t="n">
        <v>27</v>
      </c>
      <c r="G769" s="11" t="n">
        <v>5</v>
      </c>
      <c r="H769" s="12">
        <f>IF(F769=0,"",G769/F769)</f>
        <v/>
      </c>
    </row>
    <row r="770">
      <c r="A770" s="7" t="inlineStr">
        <is>
          <t>Simulado 02</t>
        </is>
      </c>
      <c r="B770" s="8" t="n">
        <v>1</v>
      </c>
      <c r="C770" s="8" t="inlineStr">
        <is>
          <t>6ª Fase</t>
        </is>
      </c>
      <c r="D770" s="8" t="inlineStr">
        <is>
          <t>A</t>
        </is>
      </c>
      <c r="E770" s="8" t="inlineStr">
        <is>
          <t>Não</t>
        </is>
      </c>
      <c r="F770" s="8" t="n">
        <v>28</v>
      </c>
      <c r="G770" s="8" t="n">
        <v>4</v>
      </c>
      <c r="H770" s="9">
        <f>IF(F770=0,"",G770/F770)</f>
        <v/>
      </c>
    </row>
    <row r="771">
      <c r="A771" s="10" t="inlineStr">
        <is>
          <t>Simulado 02</t>
        </is>
      </c>
      <c r="B771" s="11" t="n">
        <v>1</v>
      </c>
      <c r="C771" s="11" t="inlineStr">
        <is>
          <t>6ª Fase</t>
        </is>
      </c>
      <c r="D771" s="11" t="inlineStr">
        <is>
          <t>B</t>
        </is>
      </c>
      <c r="E771" s="11" t="inlineStr">
        <is>
          <t>Não</t>
        </is>
      </c>
      <c r="F771" s="11" t="n">
        <v>28</v>
      </c>
      <c r="G771" s="11" t="n">
        <v>19</v>
      </c>
      <c r="H771" s="12">
        <f>IF(F771=0,"",G771/F771)</f>
        <v/>
      </c>
    </row>
    <row r="772">
      <c r="A772" s="7" t="inlineStr">
        <is>
          <t>Simulado 02</t>
        </is>
      </c>
      <c r="B772" s="8" t="n">
        <v>1</v>
      </c>
      <c r="C772" s="8" t="inlineStr">
        <is>
          <t>6ª Fase</t>
        </is>
      </c>
      <c r="D772" s="8" t="inlineStr">
        <is>
          <t>C</t>
        </is>
      </c>
      <c r="E772" s="8" t="inlineStr">
        <is>
          <t>Não</t>
        </is>
      </c>
      <c r="F772" s="8" t="n">
        <v>28</v>
      </c>
      <c r="G772" s="8" t="n">
        <v>1</v>
      </c>
      <c r="H772" s="9">
        <f>IF(F772=0,"",G772/F772)</f>
        <v/>
      </c>
    </row>
    <row r="773">
      <c r="A773" s="10" t="inlineStr">
        <is>
          <t>Simulado 02</t>
        </is>
      </c>
      <c r="B773" s="11" t="n">
        <v>1</v>
      </c>
      <c r="C773" s="11" t="inlineStr">
        <is>
          <t>6ª Fase</t>
        </is>
      </c>
      <c r="D773" s="11" t="inlineStr">
        <is>
          <t>D</t>
        </is>
      </c>
      <c r="E773" s="11" t="inlineStr">
        <is>
          <t>Sim</t>
        </is>
      </c>
      <c r="F773" s="11" t="n">
        <v>28</v>
      </c>
      <c r="G773" s="11" t="n">
        <v>4</v>
      </c>
      <c r="H773" s="12">
        <f>IF(F773=0,"",G773/F773)</f>
        <v/>
      </c>
    </row>
    <row r="774">
      <c r="A774" s="7" t="inlineStr">
        <is>
          <t>Simulado 02</t>
        </is>
      </c>
      <c r="B774" s="8" t="n">
        <v>1</v>
      </c>
      <c r="C774" s="8" t="inlineStr">
        <is>
          <t>7ª Fase</t>
        </is>
      </c>
      <c r="D774" s="8" t="inlineStr">
        <is>
          <t>A</t>
        </is>
      </c>
      <c r="E774" s="8" t="inlineStr">
        <is>
          <t>Não</t>
        </is>
      </c>
      <c r="F774" s="8" t="n">
        <v>32</v>
      </c>
      <c r="G774" s="8" t="n">
        <v>5</v>
      </c>
      <c r="H774" s="9">
        <f>IF(F774=0,"",G774/F774)</f>
        <v/>
      </c>
    </row>
    <row r="775">
      <c r="A775" s="10" t="inlineStr">
        <is>
          <t>Simulado 02</t>
        </is>
      </c>
      <c r="B775" s="11" t="n">
        <v>1</v>
      </c>
      <c r="C775" s="11" t="inlineStr">
        <is>
          <t>7ª Fase</t>
        </is>
      </c>
      <c r="D775" s="11" t="inlineStr">
        <is>
          <t>B</t>
        </is>
      </c>
      <c r="E775" s="11" t="inlineStr">
        <is>
          <t>Não</t>
        </is>
      </c>
      <c r="F775" s="11" t="n">
        <v>32</v>
      </c>
      <c r="G775" s="11" t="n">
        <v>22</v>
      </c>
      <c r="H775" s="12">
        <f>IF(F775=0,"",G775/F775)</f>
        <v/>
      </c>
    </row>
    <row r="776">
      <c r="A776" s="7" t="inlineStr">
        <is>
          <t>Simulado 02</t>
        </is>
      </c>
      <c r="B776" s="8" t="n">
        <v>1</v>
      </c>
      <c r="C776" s="8" t="inlineStr">
        <is>
          <t>7ª Fase</t>
        </is>
      </c>
      <c r="D776" s="8" t="inlineStr">
        <is>
          <t>C</t>
        </is>
      </c>
      <c r="E776" s="8" t="inlineStr">
        <is>
          <t>Não</t>
        </is>
      </c>
      <c r="F776" s="8" t="n">
        <v>32</v>
      </c>
      <c r="G776" s="8" t="n">
        <v>1</v>
      </c>
      <c r="H776" s="9">
        <f>IF(F776=0,"",G776/F776)</f>
        <v/>
      </c>
    </row>
    <row r="777">
      <c r="A777" s="10" t="inlineStr">
        <is>
          <t>Simulado 02</t>
        </is>
      </c>
      <c r="B777" s="11" t="n">
        <v>1</v>
      </c>
      <c r="C777" s="11" t="inlineStr">
        <is>
          <t>7ª Fase</t>
        </is>
      </c>
      <c r="D777" s="11" t="inlineStr">
        <is>
          <t>D</t>
        </is>
      </c>
      <c r="E777" s="11" t="inlineStr">
        <is>
          <t>Sim</t>
        </is>
      </c>
      <c r="F777" s="11" t="n">
        <v>32</v>
      </c>
      <c r="G777" s="11" t="n">
        <v>4</v>
      </c>
      <c r="H777" s="12">
        <f>IF(F777=0,"",G777/F777)</f>
        <v/>
      </c>
    </row>
    <row r="778">
      <c r="A778" s="7" t="inlineStr">
        <is>
          <t>Simulado 02</t>
        </is>
      </c>
      <c r="B778" s="8" t="n">
        <v>1</v>
      </c>
      <c r="C778" s="8" t="inlineStr">
        <is>
          <t>10ª Fase</t>
        </is>
      </c>
      <c r="D778" s="8" t="inlineStr">
        <is>
          <t>A</t>
        </is>
      </c>
      <c r="E778" s="8" t="inlineStr">
        <is>
          <t>Não</t>
        </is>
      </c>
      <c r="F778" s="8" t="n">
        <v>31</v>
      </c>
      <c r="G778" s="8" t="n">
        <v>4</v>
      </c>
      <c r="H778" s="9">
        <f>IF(F778=0,"",G778/F778)</f>
        <v/>
      </c>
    </row>
    <row r="779">
      <c r="A779" s="10" t="inlineStr">
        <is>
          <t>Simulado 02</t>
        </is>
      </c>
      <c r="B779" s="11" t="n">
        <v>1</v>
      </c>
      <c r="C779" s="11" t="inlineStr">
        <is>
          <t>10ª Fase</t>
        </is>
      </c>
      <c r="D779" s="11" t="inlineStr">
        <is>
          <t>B</t>
        </is>
      </c>
      <c r="E779" s="11" t="inlineStr">
        <is>
          <t>Não</t>
        </is>
      </c>
      <c r="F779" s="11" t="n">
        <v>31</v>
      </c>
      <c r="G779" s="11" t="n">
        <v>18</v>
      </c>
      <c r="H779" s="12">
        <f>IF(F779=0,"",G779/F779)</f>
        <v/>
      </c>
    </row>
    <row r="780">
      <c r="A780" s="7" t="inlineStr">
        <is>
          <t>Simulado 02</t>
        </is>
      </c>
      <c r="B780" s="8" t="n">
        <v>1</v>
      </c>
      <c r="C780" s="8" t="inlineStr">
        <is>
          <t>10ª Fase</t>
        </is>
      </c>
      <c r="D780" s="8" t="inlineStr">
        <is>
          <t>C</t>
        </is>
      </c>
      <c r="E780" s="8" t="inlineStr">
        <is>
          <t>Não</t>
        </is>
      </c>
      <c r="F780" s="8" t="n">
        <v>31</v>
      </c>
      <c r="G780" s="8" t="n">
        <v>1</v>
      </c>
      <c r="H780" s="9">
        <f>IF(F780=0,"",G780/F780)</f>
        <v/>
      </c>
    </row>
    <row r="781">
      <c r="A781" s="10" t="inlineStr">
        <is>
          <t>Simulado 02</t>
        </is>
      </c>
      <c r="B781" s="11" t="n">
        <v>1</v>
      </c>
      <c r="C781" s="11" t="inlineStr">
        <is>
          <t>10ª Fase</t>
        </is>
      </c>
      <c r="D781" s="11" t="inlineStr">
        <is>
          <t>D</t>
        </is>
      </c>
      <c r="E781" s="11" t="inlineStr">
        <is>
          <t>Sim</t>
        </is>
      </c>
      <c r="F781" s="11" t="n">
        <v>31</v>
      </c>
      <c r="G781" s="11" t="n">
        <v>8</v>
      </c>
      <c r="H781" s="12">
        <f>IF(F781=0,"",G781/F781)</f>
        <v/>
      </c>
    </row>
    <row r="782">
      <c r="A782" s="7" t="inlineStr">
        <is>
          <t>Simulado 02</t>
        </is>
      </c>
      <c r="B782" s="8" t="n">
        <v>1</v>
      </c>
      <c r="C782" s="8" t="inlineStr">
        <is>
          <t>11ª Fase</t>
        </is>
      </c>
      <c r="D782" s="8" t="inlineStr">
        <is>
          <t>A</t>
        </is>
      </c>
      <c r="E782" s="8" t="inlineStr">
        <is>
          <t>Não</t>
        </is>
      </c>
      <c r="F782" s="8" t="n">
        <v>29</v>
      </c>
      <c r="G782" s="8" t="n">
        <v>2</v>
      </c>
      <c r="H782" s="9">
        <f>IF(F782=0,"",G782/F782)</f>
        <v/>
      </c>
    </row>
    <row r="783">
      <c r="A783" s="10" t="inlineStr">
        <is>
          <t>Simulado 02</t>
        </is>
      </c>
      <c r="B783" s="11" t="n">
        <v>1</v>
      </c>
      <c r="C783" s="11" t="inlineStr">
        <is>
          <t>11ª Fase</t>
        </is>
      </c>
      <c r="D783" s="11" t="inlineStr">
        <is>
          <t>B</t>
        </is>
      </c>
      <c r="E783" s="11" t="inlineStr">
        <is>
          <t>Não</t>
        </is>
      </c>
      <c r="F783" s="11" t="n">
        <v>29</v>
      </c>
      <c r="G783" s="11" t="n">
        <v>12</v>
      </c>
      <c r="H783" s="12">
        <f>IF(F783=0,"",G783/F783)</f>
        <v/>
      </c>
    </row>
    <row r="784">
      <c r="A784" s="7" t="inlineStr">
        <is>
          <t>Simulado 02</t>
        </is>
      </c>
      <c r="B784" s="8" t="n">
        <v>1</v>
      </c>
      <c r="C784" s="8" t="inlineStr">
        <is>
          <t>11ª Fase</t>
        </is>
      </c>
      <c r="D784" s="8" t="inlineStr">
        <is>
          <t>C</t>
        </is>
      </c>
      <c r="E784" s="8" t="inlineStr">
        <is>
          <t>Não</t>
        </is>
      </c>
      <c r="F784" s="8" t="n">
        <v>29</v>
      </c>
      <c r="G784" s="8" t="n">
        <v>0</v>
      </c>
      <c r="H784" s="9">
        <f>IF(F784=0,"",G784/F784)</f>
        <v/>
      </c>
    </row>
    <row r="785">
      <c r="A785" s="10" t="inlineStr">
        <is>
          <t>Simulado 02</t>
        </is>
      </c>
      <c r="B785" s="11" t="n">
        <v>1</v>
      </c>
      <c r="C785" s="11" t="inlineStr">
        <is>
          <t>11ª Fase</t>
        </is>
      </c>
      <c r="D785" s="11" t="inlineStr">
        <is>
          <t>D</t>
        </is>
      </c>
      <c r="E785" s="11" t="inlineStr">
        <is>
          <t>Sim</t>
        </is>
      </c>
      <c r="F785" s="11" t="n">
        <v>29</v>
      </c>
      <c r="G785" s="11" t="n">
        <v>15</v>
      </c>
      <c r="H785" s="12">
        <f>IF(F785=0,"",G785/F785)</f>
        <v/>
      </c>
    </row>
    <row r="786">
      <c r="A786" s="7" t="inlineStr">
        <is>
          <t>Simulado 02</t>
        </is>
      </c>
      <c r="B786" s="8" t="n">
        <v>2</v>
      </c>
      <c r="C786" s="8" t="inlineStr">
        <is>
          <t>6ª Fase</t>
        </is>
      </c>
      <c r="D786" s="8" t="inlineStr">
        <is>
          <t>A</t>
        </is>
      </c>
      <c r="E786" s="8" t="inlineStr">
        <is>
          <t>Não</t>
        </is>
      </c>
      <c r="F786" s="8" t="n">
        <v>28</v>
      </c>
      <c r="G786" s="8" t="n">
        <v>8</v>
      </c>
      <c r="H786" s="9">
        <f>IF(F786=0,"",G786/F786)</f>
        <v/>
      </c>
    </row>
    <row r="787">
      <c r="A787" s="10" t="inlineStr">
        <is>
          <t>Simulado 02</t>
        </is>
      </c>
      <c r="B787" s="11" t="n">
        <v>2</v>
      </c>
      <c r="C787" s="11" t="inlineStr">
        <is>
          <t>6ª Fase</t>
        </is>
      </c>
      <c r="D787" s="11" t="inlineStr">
        <is>
          <t>B</t>
        </is>
      </c>
      <c r="E787" s="11" t="inlineStr">
        <is>
          <t>Sim</t>
        </is>
      </c>
      <c r="F787" s="11" t="n">
        <v>28</v>
      </c>
      <c r="G787" s="11" t="n">
        <v>20</v>
      </c>
      <c r="H787" s="12">
        <f>IF(F787=0,"",G787/F787)</f>
        <v/>
      </c>
    </row>
    <row r="788">
      <c r="A788" s="7" t="inlineStr">
        <is>
          <t>Simulado 02</t>
        </is>
      </c>
      <c r="B788" s="8" t="n">
        <v>2</v>
      </c>
      <c r="C788" s="8" t="inlineStr">
        <is>
          <t>6ª Fase</t>
        </is>
      </c>
      <c r="D788" s="8" t="inlineStr">
        <is>
          <t>C</t>
        </is>
      </c>
      <c r="E788" s="8" t="inlineStr">
        <is>
          <t>Não</t>
        </is>
      </c>
      <c r="F788" s="8" t="n">
        <v>28</v>
      </c>
      <c r="G788" s="8" t="n">
        <v>0</v>
      </c>
      <c r="H788" s="9">
        <f>IF(F788=0,"",G788/F788)</f>
        <v/>
      </c>
    </row>
    <row r="789">
      <c r="A789" s="10" t="inlineStr">
        <is>
          <t>Simulado 02</t>
        </is>
      </c>
      <c r="B789" s="11" t="n">
        <v>2</v>
      </c>
      <c r="C789" s="11" t="inlineStr">
        <is>
          <t>6ª Fase</t>
        </is>
      </c>
      <c r="D789" s="11" t="inlineStr">
        <is>
          <t>D</t>
        </is>
      </c>
      <c r="E789" s="11" t="inlineStr">
        <is>
          <t>Não</t>
        </is>
      </c>
      <c r="F789" s="11" t="n">
        <v>28</v>
      </c>
      <c r="G789" s="11" t="n">
        <v>0</v>
      </c>
      <c r="H789" s="12">
        <f>IF(F789=0,"",G789/F789)</f>
        <v/>
      </c>
    </row>
    <row r="790">
      <c r="A790" s="7" t="inlineStr">
        <is>
          <t>Simulado 02</t>
        </is>
      </c>
      <c r="B790" s="8" t="n">
        <v>2</v>
      </c>
      <c r="C790" s="8" t="inlineStr">
        <is>
          <t>7ª Fase</t>
        </is>
      </c>
      <c r="D790" s="8" t="inlineStr">
        <is>
          <t>A</t>
        </is>
      </c>
      <c r="E790" s="8" t="inlineStr">
        <is>
          <t>Não</t>
        </is>
      </c>
      <c r="F790" s="8" t="n">
        <v>32</v>
      </c>
      <c r="G790" s="8" t="n">
        <v>11</v>
      </c>
      <c r="H790" s="9">
        <f>IF(F790=0,"",G790/F790)</f>
        <v/>
      </c>
    </row>
    <row r="791">
      <c r="A791" s="10" t="inlineStr">
        <is>
          <t>Simulado 02</t>
        </is>
      </c>
      <c r="B791" s="11" t="n">
        <v>2</v>
      </c>
      <c r="C791" s="11" t="inlineStr">
        <is>
          <t>7ª Fase</t>
        </is>
      </c>
      <c r="D791" s="11" t="inlineStr">
        <is>
          <t>B</t>
        </is>
      </c>
      <c r="E791" s="11" t="inlineStr">
        <is>
          <t>Sim</t>
        </is>
      </c>
      <c r="F791" s="11" t="n">
        <v>32</v>
      </c>
      <c r="G791" s="11" t="n">
        <v>21</v>
      </c>
      <c r="H791" s="12">
        <f>IF(F791=0,"",G791/F791)</f>
        <v/>
      </c>
    </row>
    <row r="792">
      <c r="A792" s="7" t="inlineStr">
        <is>
          <t>Simulado 02</t>
        </is>
      </c>
      <c r="B792" s="8" t="n">
        <v>2</v>
      </c>
      <c r="C792" s="8" t="inlineStr">
        <is>
          <t>7ª Fase</t>
        </is>
      </c>
      <c r="D792" s="8" t="inlineStr">
        <is>
          <t>C</t>
        </is>
      </c>
      <c r="E792" s="8" t="inlineStr">
        <is>
          <t>Não</t>
        </is>
      </c>
      <c r="F792" s="8" t="n">
        <v>32</v>
      </c>
      <c r="G792" s="8" t="n">
        <v>0</v>
      </c>
      <c r="H792" s="9">
        <f>IF(F792=0,"",G792/F792)</f>
        <v/>
      </c>
    </row>
    <row r="793">
      <c r="A793" s="10" t="inlineStr">
        <is>
          <t>Simulado 02</t>
        </is>
      </c>
      <c r="B793" s="11" t="n">
        <v>2</v>
      </c>
      <c r="C793" s="11" t="inlineStr">
        <is>
          <t>7ª Fase</t>
        </is>
      </c>
      <c r="D793" s="11" t="inlineStr">
        <is>
          <t>D</t>
        </is>
      </c>
      <c r="E793" s="11" t="inlineStr">
        <is>
          <t>Não</t>
        </is>
      </c>
      <c r="F793" s="11" t="n">
        <v>32</v>
      </c>
      <c r="G793" s="11" t="n">
        <v>0</v>
      </c>
      <c r="H793" s="12">
        <f>IF(F793=0,"",G793/F793)</f>
        <v/>
      </c>
    </row>
    <row r="794">
      <c r="A794" s="7" t="inlineStr">
        <is>
          <t>Simulado 02</t>
        </is>
      </c>
      <c r="B794" s="8" t="n">
        <v>2</v>
      </c>
      <c r="C794" s="8" t="inlineStr">
        <is>
          <t>10ª Fase</t>
        </is>
      </c>
      <c r="D794" s="8" t="inlineStr">
        <is>
          <t>A</t>
        </is>
      </c>
      <c r="E794" s="8" t="inlineStr">
        <is>
          <t>Não</t>
        </is>
      </c>
      <c r="F794" s="8" t="n">
        <v>31</v>
      </c>
      <c r="G794" s="8" t="n">
        <v>9</v>
      </c>
      <c r="H794" s="9">
        <f>IF(F794=0,"",G794/F794)</f>
        <v/>
      </c>
    </row>
    <row r="795">
      <c r="A795" s="10" t="inlineStr">
        <is>
          <t>Simulado 02</t>
        </is>
      </c>
      <c r="B795" s="11" t="n">
        <v>2</v>
      </c>
      <c r="C795" s="11" t="inlineStr">
        <is>
          <t>10ª Fase</t>
        </is>
      </c>
      <c r="D795" s="11" t="inlineStr">
        <is>
          <t>B</t>
        </is>
      </c>
      <c r="E795" s="11" t="inlineStr">
        <is>
          <t>Sim</t>
        </is>
      </c>
      <c r="F795" s="11" t="n">
        <v>31</v>
      </c>
      <c r="G795" s="11" t="n">
        <v>21</v>
      </c>
      <c r="H795" s="12">
        <f>IF(F795=0,"",G795/F795)</f>
        <v/>
      </c>
    </row>
    <row r="796">
      <c r="A796" s="7" t="inlineStr">
        <is>
          <t>Simulado 02</t>
        </is>
      </c>
      <c r="B796" s="8" t="n">
        <v>2</v>
      </c>
      <c r="C796" s="8" t="inlineStr">
        <is>
          <t>10ª Fase</t>
        </is>
      </c>
      <c r="D796" s="8" t="inlineStr">
        <is>
          <t>C</t>
        </is>
      </c>
      <c r="E796" s="8" t="inlineStr">
        <is>
          <t>Não</t>
        </is>
      </c>
      <c r="F796" s="8" t="n">
        <v>31</v>
      </c>
      <c r="G796" s="8" t="n">
        <v>0</v>
      </c>
      <c r="H796" s="9">
        <f>IF(F796=0,"",G796/F796)</f>
        <v/>
      </c>
    </row>
    <row r="797">
      <c r="A797" s="10" t="inlineStr">
        <is>
          <t>Simulado 02</t>
        </is>
      </c>
      <c r="B797" s="11" t="n">
        <v>2</v>
      </c>
      <c r="C797" s="11" t="inlineStr">
        <is>
          <t>10ª Fase</t>
        </is>
      </c>
      <c r="D797" s="11" t="inlineStr">
        <is>
          <t>D</t>
        </is>
      </c>
      <c r="E797" s="11" t="inlineStr">
        <is>
          <t>Não</t>
        </is>
      </c>
      <c r="F797" s="11" t="n">
        <v>31</v>
      </c>
      <c r="G797" s="11" t="n">
        <v>1</v>
      </c>
      <c r="H797" s="12">
        <f>IF(F797=0,"",G797/F797)</f>
        <v/>
      </c>
    </row>
    <row r="798">
      <c r="A798" s="7" t="inlineStr">
        <is>
          <t>Simulado 02</t>
        </is>
      </c>
      <c r="B798" s="8" t="n">
        <v>2</v>
      </c>
      <c r="C798" s="8" t="inlineStr">
        <is>
          <t>11ª Fase</t>
        </is>
      </c>
      <c r="D798" s="8" t="inlineStr">
        <is>
          <t>A</t>
        </is>
      </c>
      <c r="E798" s="8" t="inlineStr">
        <is>
          <t>Não</t>
        </is>
      </c>
      <c r="F798" s="8" t="n">
        <v>29</v>
      </c>
      <c r="G798" s="8" t="n">
        <v>7</v>
      </c>
      <c r="H798" s="9">
        <f>IF(F798=0,"",G798/F798)</f>
        <v/>
      </c>
    </row>
    <row r="799">
      <c r="A799" s="10" t="inlineStr">
        <is>
          <t>Simulado 02</t>
        </is>
      </c>
      <c r="B799" s="11" t="n">
        <v>2</v>
      </c>
      <c r="C799" s="11" t="inlineStr">
        <is>
          <t>11ª Fase</t>
        </is>
      </c>
      <c r="D799" s="11" t="inlineStr">
        <is>
          <t>B</t>
        </is>
      </c>
      <c r="E799" s="11" t="inlineStr">
        <is>
          <t>Sim</t>
        </is>
      </c>
      <c r="F799" s="11" t="n">
        <v>29</v>
      </c>
      <c r="G799" s="11" t="n">
        <v>21</v>
      </c>
      <c r="H799" s="12">
        <f>IF(F799=0,"",G799/F799)</f>
        <v/>
      </c>
    </row>
    <row r="800">
      <c r="A800" s="7" t="inlineStr">
        <is>
          <t>Simulado 02</t>
        </is>
      </c>
      <c r="B800" s="8" t="n">
        <v>2</v>
      </c>
      <c r="C800" s="8" t="inlineStr">
        <is>
          <t>11ª Fase</t>
        </is>
      </c>
      <c r="D800" s="8" t="inlineStr">
        <is>
          <t>C</t>
        </is>
      </c>
      <c r="E800" s="8" t="inlineStr">
        <is>
          <t>Não</t>
        </is>
      </c>
      <c r="F800" s="8" t="n">
        <v>29</v>
      </c>
      <c r="G800" s="8" t="n">
        <v>1</v>
      </c>
      <c r="H800" s="9">
        <f>IF(F800=0,"",G800/F800)</f>
        <v/>
      </c>
    </row>
    <row r="801">
      <c r="A801" s="10" t="inlineStr">
        <is>
          <t>Simulado 02</t>
        </is>
      </c>
      <c r="B801" s="11" t="n">
        <v>2</v>
      </c>
      <c r="C801" s="11" t="inlineStr">
        <is>
          <t>11ª Fase</t>
        </is>
      </c>
      <c r="D801" s="11" t="inlineStr">
        <is>
          <t>D</t>
        </is>
      </c>
      <c r="E801" s="11" t="inlineStr">
        <is>
          <t>Não</t>
        </is>
      </c>
      <c r="F801" s="11" t="n">
        <v>29</v>
      </c>
      <c r="G801" s="11" t="n">
        <v>0</v>
      </c>
      <c r="H801" s="12">
        <f>IF(F801=0,"",G801/F801)</f>
        <v/>
      </c>
    </row>
    <row r="802">
      <c r="A802" s="7" t="inlineStr">
        <is>
          <t>Simulado 02</t>
        </is>
      </c>
      <c r="B802" s="8" t="n">
        <v>3</v>
      </c>
      <c r="C802" s="8" t="inlineStr">
        <is>
          <t>6ª Fase</t>
        </is>
      </c>
      <c r="D802" s="8" t="inlineStr">
        <is>
          <t>A</t>
        </is>
      </c>
      <c r="E802" s="8" t="inlineStr">
        <is>
          <t>Não</t>
        </is>
      </c>
      <c r="F802" s="8" t="n">
        <v>28</v>
      </c>
      <c r="G802" s="8" t="n">
        <v>1</v>
      </c>
      <c r="H802" s="9">
        <f>IF(F802=0,"",G802/F802)</f>
        <v/>
      </c>
    </row>
    <row r="803">
      <c r="A803" s="10" t="inlineStr">
        <is>
          <t>Simulado 02</t>
        </is>
      </c>
      <c r="B803" s="11" t="n">
        <v>3</v>
      </c>
      <c r="C803" s="11" t="inlineStr">
        <is>
          <t>6ª Fase</t>
        </is>
      </c>
      <c r="D803" s="11" t="inlineStr">
        <is>
          <t>B</t>
        </is>
      </c>
      <c r="E803" s="11" t="inlineStr">
        <is>
          <t>Não</t>
        </is>
      </c>
      <c r="F803" s="11" t="n">
        <v>28</v>
      </c>
      <c r="G803" s="11" t="n">
        <v>1</v>
      </c>
      <c r="H803" s="12">
        <f>IF(F803=0,"",G803/F803)</f>
        <v/>
      </c>
    </row>
    <row r="804">
      <c r="A804" s="7" t="inlineStr">
        <is>
          <t>Simulado 02</t>
        </is>
      </c>
      <c r="B804" s="8" t="n">
        <v>3</v>
      </c>
      <c r="C804" s="8" t="inlineStr">
        <is>
          <t>6ª Fase</t>
        </is>
      </c>
      <c r="D804" s="8" t="inlineStr">
        <is>
          <t>C</t>
        </is>
      </c>
      <c r="E804" s="8" t="inlineStr">
        <is>
          <t>Sim</t>
        </is>
      </c>
      <c r="F804" s="8" t="n">
        <v>28</v>
      </c>
      <c r="G804" s="8" t="n">
        <v>25</v>
      </c>
      <c r="H804" s="9">
        <f>IF(F804=0,"",G804/F804)</f>
        <v/>
      </c>
    </row>
    <row r="805">
      <c r="A805" s="10" t="inlineStr">
        <is>
          <t>Simulado 02</t>
        </is>
      </c>
      <c r="B805" s="11" t="n">
        <v>3</v>
      </c>
      <c r="C805" s="11" t="inlineStr">
        <is>
          <t>6ª Fase</t>
        </is>
      </c>
      <c r="D805" s="11" t="inlineStr">
        <is>
          <t>D</t>
        </is>
      </c>
      <c r="E805" s="11" t="inlineStr">
        <is>
          <t>Não</t>
        </is>
      </c>
      <c r="F805" s="11" t="n">
        <v>28</v>
      </c>
      <c r="G805" s="11" t="n">
        <v>1</v>
      </c>
      <c r="H805" s="12">
        <f>IF(F805=0,"",G805/F805)</f>
        <v/>
      </c>
    </row>
    <row r="806">
      <c r="A806" s="7" t="inlineStr">
        <is>
          <t>Simulado 02</t>
        </is>
      </c>
      <c r="B806" s="8" t="n">
        <v>3</v>
      </c>
      <c r="C806" s="8" t="inlineStr">
        <is>
          <t>7ª Fase</t>
        </is>
      </c>
      <c r="D806" s="8" t="inlineStr">
        <is>
          <t>A</t>
        </is>
      </c>
      <c r="E806" s="8" t="inlineStr">
        <is>
          <t>Não</t>
        </is>
      </c>
      <c r="F806" s="8" t="n">
        <v>32</v>
      </c>
      <c r="G806" s="8" t="n">
        <v>0</v>
      </c>
      <c r="H806" s="9">
        <f>IF(F806=0,"",G806/F806)</f>
        <v/>
      </c>
    </row>
    <row r="807">
      <c r="A807" s="10" t="inlineStr">
        <is>
          <t>Simulado 02</t>
        </is>
      </c>
      <c r="B807" s="11" t="n">
        <v>3</v>
      </c>
      <c r="C807" s="11" t="inlineStr">
        <is>
          <t>7ª Fase</t>
        </is>
      </c>
      <c r="D807" s="11" t="inlineStr">
        <is>
          <t>B</t>
        </is>
      </c>
      <c r="E807" s="11" t="inlineStr">
        <is>
          <t>Não</t>
        </is>
      </c>
      <c r="F807" s="11" t="n">
        <v>32</v>
      </c>
      <c r="G807" s="11" t="n">
        <v>0</v>
      </c>
      <c r="H807" s="12">
        <f>IF(F807=0,"",G807/F807)</f>
        <v/>
      </c>
    </row>
    <row r="808">
      <c r="A808" s="7" t="inlineStr">
        <is>
          <t>Simulado 02</t>
        </is>
      </c>
      <c r="B808" s="8" t="n">
        <v>3</v>
      </c>
      <c r="C808" s="8" t="inlineStr">
        <is>
          <t>7ª Fase</t>
        </is>
      </c>
      <c r="D808" s="8" t="inlineStr">
        <is>
          <t>C</t>
        </is>
      </c>
      <c r="E808" s="8" t="inlineStr">
        <is>
          <t>Sim</t>
        </is>
      </c>
      <c r="F808" s="8" t="n">
        <v>32</v>
      </c>
      <c r="G808" s="8" t="n">
        <v>30</v>
      </c>
      <c r="H808" s="9">
        <f>IF(F808=0,"",G808/F808)</f>
        <v/>
      </c>
    </row>
    <row r="809">
      <c r="A809" s="10" t="inlineStr">
        <is>
          <t>Simulado 02</t>
        </is>
      </c>
      <c r="B809" s="11" t="n">
        <v>3</v>
      </c>
      <c r="C809" s="11" t="inlineStr">
        <is>
          <t>7ª Fase</t>
        </is>
      </c>
      <c r="D809" s="11" t="inlineStr">
        <is>
          <t>D</t>
        </is>
      </c>
      <c r="E809" s="11" t="inlineStr">
        <is>
          <t>Não</t>
        </is>
      </c>
      <c r="F809" s="11" t="n">
        <v>32</v>
      </c>
      <c r="G809" s="11" t="n">
        <v>2</v>
      </c>
      <c r="H809" s="12">
        <f>IF(F809=0,"",G809/F809)</f>
        <v/>
      </c>
    </row>
    <row r="810">
      <c r="A810" s="7" t="inlineStr">
        <is>
          <t>Simulado 02</t>
        </is>
      </c>
      <c r="B810" s="8" t="n">
        <v>3</v>
      </c>
      <c r="C810" s="8" t="inlineStr">
        <is>
          <t>10ª Fase</t>
        </is>
      </c>
      <c r="D810" s="8" t="inlineStr">
        <is>
          <t>A</t>
        </is>
      </c>
      <c r="E810" s="8" t="inlineStr">
        <is>
          <t>Não</t>
        </is>
      </c>
      <c r="F810" s="8" t="n">
        <v>31</v>
      </c>
      <c r="G810" s="8" t="n">
        <v>0</v>
      </c>
      <c r="H810" s="9">
        <f>IF(F810=0,"",G810/F810)</f>
        <v/>
      </c>
    </row>
    <row r="811">
      <c r="A811" s="10" t="inlineStr">
        <is>
          <t>Simulado 02</t>
        </is>
      </c>
      <c r="B811" s="11" t="n">
        <v>3</v>
      </c>
      <c r="C811" s="11" t="inlineStr">
        <is>
          <t>10ª Fase</t>
        </is>
      </c>
      <c r="D811" s="11" t="inlineStr">
        <is>
          <t>B</t>
        </is>
      </c>
      <c r="E811" s="11" t="inlineStr">
        <is>
          <t>Não</t>
        </is>
      </c>
      <c r="F811" s="11" t="n">
        <v>31</v>
      </c>
      <c r="G811" s="11" t="n">
        <v>2</v>
      </c>
      <c r="H811" s="12">
        <f>IF(F811=0,"",G811/F811)</f>
        <v/>
      </c>
    </row>
    <row r="812">
      <c r="A812" s="7" t="inlineStr">
        <is>
          <t>Simulado 02</t>
        </is>
      </c>
      <c r="B812" s="8" t="n">
        <v>3</v>
      </c>
      <c r="C812" s="8" t="inlineStr">
        <is>
          <t>10ª Fase</t>
        </is>
      </c>
      <c r="D812" s="8" t="inlineStr">
        <is>
          <t>C</t>
        </is>
      </c>
      <c r="E812" s="8" t="inlineStr">
        <is>
          <t>Sim</t>
        </is>
      </c>
      <c r="F812" s="8" t="n">
        <v>31</v>
      </c>
      <c r="G812" s="8" t="n">
        <v>28</v>
      </c>
      <c r="H812" s="9">
        <f>IF(F812=0,"",G812/F812)</f>
        <v/>
      </c>
    </row>
    <row r="813">
      <c r="A813" s="10" t="inlineStr">
        <is>
          <t>Simulado 02</t>
        </is>
      </c>
      <c r="B813" s="11" t="n">
        <v>3</v>
      </c>
      <c r="C813" s="11" t="inlineStr">
        <is>
          <t>10ª Fase</t>
        </is>
      </c>
      <c r="D813" s="11" t="inlineStr">
        <is>
          <t>D</t>
        </is>
      </c>
      <c r="E813" s="11" t="inlineStr">
        <is>
          <t>Não</t>
        </is>
      </c>
      <c r="F813" s="11" t="n">
        <v>31</v>
      </c>
      <c r="G813" s="11" t="n">
        <v>1</v>
      </c>
      <c r="H813" s="12">
        <f>IF(F813=0,"",G813/F813)</f>
        <v/>
      </c>
    </row>
    <row r="814">
      <c r="A814" s="7" t="inlineStr">
        <is>
          <t>Simulado 02</t>
        </is>
      </c>
      <c r="B814" s="8" t="n">
        <v>3</v>
      </c>
      <c r="C814" s="8" t="inlineStr">
        <is>
          <t>11ª Fase</t>
        </is>
      </c>
      <c r="D814" s="8" t="inlineStr">
        <is>
          <t>A</t>
        </is>
      </c>
      <c r="E814" s="8" t="inlineStr">
        <is>
          <t>Não</t>
        </is>
      </c>
      <c r="F814" s="8" t="n">
        <v>29</v>
      </c>
      <c r="G814" s="8" t="n">
        <v>0</v>
      </c>
      <c r="H814" s="9">
        <f>IF(F814=0,"",G814/F814)</f>
        <v/>
      </c>
    </row>
    <row r="815">
      <c r="A815" s="10" t="inlineStr">
        <is>
          <t>Simulado 02</t>
        </is>
      </c>
      <c r="B815" s="11" t="n">
        <v>3</v>
      </c>
      <c r="C815" s="11" t="inlineStr">
        <is>
          <t>11ª Fase</t>
        </is>
      </c>
      <c r="D815" s="11" t="inlineStr">
        <is>
          <t>B</t>
        </is>
      </c>
      <c r="E815" s="11" t="inlineStr">
        <is>
          <t>Não</t>
        </is>
      </c>
      <c r="F815" s="11" t="n">
        <v>29</v>
      </c>
      <c r="G815" s="11" t="n">
        <v>1</v>
      </c>
      <c r="H815" s="12">
        <f>IF(F815=0,"",G815/F815)</f>
        <v/>
      </c>
    </row>
    <row r="816">
      <c r="A816" s="7" t="inlineStr">
        <is>
          <t>Simulado 02</t>
        </is>
      </c>
      <c r="B816" s="8" t="n">
        <v>3</v>
      </c>
      <c r="C816" s="8" t="inlineStr">
        <is>
          <t>11ª Fase</t>
        </is>
      </c>
      <c r="D816" s="8" t="inlineStr">
        <is>
          <t>C</t>
        </is>
      </c>
      <c r="E816" s="8" t="inlineStr">
        <is>
          <t>Sim</t>
        </is>
      </c>
      <c r="F816" s="8" t="n">
        <v>29</v>
      </c>
      <c r="G816" s="8" t="n">
        <v>28</v>
      </c>
      <c r="H816" s="9">
        <f>IF(F816=0,"",G816/F816)</f>
        <v/>
      </c>
    </row>
    <row r="817">
      <c r="A817" s="10" t="inlineStr">
        <is>
          <t>Simulado 02</t>
        </is>
      </c>
      <c r="B817" s="11" t="n">
        <v>3</v>
      </c>
      <c r="C817" s="11" t="inlineStr">
        <is>
          <t>11ª Fase</t>
        </is>
      </c>
      <c r="D817" s="11" t="inlineStr">
        <is>
          <t>D</t>
        </is>
      </c>
      <c r="E817" s="11" t="inlineStr">
        <is>
          <t>Não</t>
        </is>
      </c>
      <c r="F817" s="11" t="n">
        <v>29</v>
      </c>
      <c r="G817" s="11" t="n">
        <v>0</v>
      </c>
      <c r="H817" s="12">
        <f>IF(F817=0,"",G817/F817)</f>
        <v/>
      </c>
    </row>
    <row r="818">
      <c r="A818" s="7" t="inlineStr">
        <is>
          <t>Simulado 02</t>
        </is>
      </c>
      <c r="B818" s="8" t="n">
        <v>4</v>
      </c>
      <c r="C818" s="8" t="inlineStr">
        <is>
          <t>6ª Fase</t>
        </is>
      </c>
      <c r="D818" s="8" t="inlineStr">
        <is>
          <t>A</t>
        </is>
      </c>
      <c r="E818" s="8" t="inlineStr">
        <is>
          <t>Não</t>
        </is>
      </c>
      <c r="F818" s="8" t="n">
        <v>28</v>
      </c>
      <c r="G818" s="8" t="n">
        <v>0</v>
      </c>
      <c r="H818" s="9">
        <f>IF(F818=0,"",G818/F818)</f>
        <v/>
      </c>
    </row>
    <row r="819">
      <c r="A819" s="10" t="inlineStr">
        <is>
          <t>Simulado 02</t>
        </is>
      </c>
      <c r="B819" s="11" t="n">
        <v>4</v>
      </c>
      <c r="C819" s="11" t="inlineStr">
        <is>
          <t>6ª Fase</t>
        </is>
      </c>
      <c r="D819" s="11" t="inlineStr">
        <is>
          <t>B</t>
        </is>
      </c>
      <c r="E819" s="11" t="inlineStr">
        <is>
          <t>Não</t>
        </is>
      </c>
      <c r="F819" s="11" t="n">
        <v>28</v>
      </c>
      <c r="G819" s="11" t="n">
        <v>4</v>
      </c>
      <c r="H819" s="12">
        <f>IF(F819=0,"",G819/F819)</f>
        <v/>
      </c>
    </row>
    <row r="820">
      <c r="A820" s="7" t="inlineStr">
        <is>
          <t>Simulado 02</t>
        </is>
      </c>
      <c r="B820" s="8" t="n">
        <v>4</v>
      </c>
      <c r="C820" s="8" t="inlineStr">
        <is>
          <t>6ª Fase</t>
        </is>
      </c>
      <c r="D820" s="8" t="inlineStr">
        <is>
          <t>C</t>
        </is>
      </c>
      <c r="E820" s="8" t="inlineStr">
        <is>
          <t>Sim</t>
        </is>
      </c>
      <c r="F820" s="8" t="n">
        <v>28</v>
      </c>
      <c r="G820" s="8" t="n">
        <v>14</v>
      </c>
      <c r="H820" s="9">
        <f>IF(F820=0,"",G820/F820)</f>
        <v/>
      </c>
    </row>
    <row r="821">
      <c r="A821" s="10" t="inlineStr">
        <is>
          <t>Simulado 02</t>
        </is>
      </c>
      <c r="B821" s="11" t="n">
        <v>4</v>
      </c>
      <c r="C821" s="11" t="inlineStr">
        <is>
          <t>6ª Fase</t>
        </is>
      </c>
      <c r="D821" s="11" t="inlineStr">
        <is>
          <t>D</t>
        </is>
      </c>
      <c r="E821" s="11" t="inlineStr">
        <is>
          <t>Não</t>
        </is>
      </c>
      <c r="F821" s="11" t="n">
        <v>28</v>
      </c>
      <c r="G821" s="11" t="n">
        <v>10</v>
      </c>
      <c r="H821" s="12">
        <f>IF(F821=0,"",G821/F821)</f>
        <v/>
      </c>
    </row>
    <row r="822">
      <c r="A822" s="7" t="inlineStr">
        <is>
          <t>Simulado 02</t>
        </is>
      </c>
      <c r="B822" s="8" t="n">
        <v>4</v>
      </c>
      <c r="C822" s="8" t="inlineStr">
        <is>
          <t>7ª Fase</t>
        </is>
      </c>
      <c r="D822" s="8" t="inlineStr">
        <is>
          <t>A</t>
        </is>
      </c>
      <c r="E822" s="8" t="inlineStr">
        <is>
          <t>Não</t>
        </is>
      </c>
      <c r="F822" s="8" t="n">
        <v>32</v>
      </c>
      <c r="G822" s="8" t="n">
        <v>2</v>
      </c>
      <c r="H822" s="9">
        <f>IF(F822=0,"",G822/F822)</f>
        <v/>
      </c>
    </row>
    <row r="823">
      <c r="A823" s="10" t="inlineStr">
        <is>
          <t>Simulado 02</t>
        </is>
      </c>
      <c r="B823" s="11" t="n">
        <v>4</v>
      </c>
      <c r="C823" s="11" t="inlineStr">
        <is>
          <t>7ª Fase</t>
        </is>
      </c>
      <c r="D823" s="11" t="inlineStr">
        <is>
          <t>B</t>
        </is>
      </c>
      <c r="E823" s="11" t="inlineStr">
        <is>
          <t>Não</t>
        </is>
      </c>
      <c r="F823" s="11" t="n">
        <v>32</v>
      </c>
      <c r="G823" s="11" t="n">
        <v>6</v>
      </c>
      <c r="H823" s="12">
        <f>IF(F823=0,"",G823/F823)</f>
        <v/>
      </c>
    </row>
    <row r="824">
      <c r="A824" s="7" t="inlineStr">
        <is>
          <t>Simulado 02</t>
        </is>
      </c>
      <c r="B824" s="8" t="n">
        <v>4</v>
      </c>
      <c r="C824" s="8" t="inlineStr">
        <is>
          <t>7ª Fase</t>
        </is>
      </c>
      <c r="D824" s="8" t="inlineStr">
        <is>
          <t>C</t>
        </is>
      </c>
      <c r="E824" s="8" t="inlineStr">
        <is>
          <t>Sim</t>
        </is>
      </c>
      <c r="F824" s="8" t="n">
        <v>32</v>
      </c>
      <c r="G824" s="8" t="n">
        <v>11</v>
      </c>
      <c r="H824" s="9">
        <f>IF(F824=0,"",G824/F824)</f>
        <v/>
      </c>
    </row>
    <row r="825">
      <c r="A825" s="10" t="inlineStr">
        <is>
          <t>Simulado 02</t>
        </is>
      </c>
      <c r="B825" s="11" t="n">
        <v>4</v>
      </c>
      <c r="C825" s="11" t="inlineStr">
        <is>
          <t>7ª Fase</t>
        </is>
      </c>
      <c r="D825" s="11" t="inlineStr">
        <is>
          <t>D</t>
        </is>
      </c>
      <c r="E825" s="11" t="inlineStr">
        <is>
          <t>Não</t>
        </is>
      </c>
      <c r="F825" s="11" t="n">
        <v>32</v>
      </c>
      <c r="G825" s="11" t="n">
        <v>13</v>
      </c>
      <c r="H825" s="12">
        <f>IF(F825=0,"",G825/F825)</f>
        <v/>
      </c>
    </row>
    <row r="826">
      <c r="A826" s="7" t="inlineStr">
        <is>
          <t>Simulado 02</t>
        </is>
      </c>
      <c r="B826" s="8" t="n">
        <v>4</v>
      </c>
      <c r="C826" s="8" t="inlineStr">
        <is>
          <t>10ª Fase</t>
        </is>
      </c>
      <c r="D826" s="8" t="inlineStr">
        <is>
          <t>A</t>
        </is>
      </c>
      <c r="E826" s="8" t="inlineStr">
        <is>
          <t>Não</t>
        </is>
      </c>
      <c r="F826" s="8" t="n">
        <v>31</v>
      </c>
      <c r="G826" s="8" t="n">
        <v>0</v>
      </c>
      <c r="H826" s="9">
        <f>IF(F826=0,"",G826/F826)</f>
        <v/>
      </c>
    </row>
    <row r="827">
      <c r="A827" s="10" t="inlineStr">
        <is>
          <t>Simulado 02</t>
        </is>
      </c>
      <c r="B827" s="11" t="n">
        <v>4</v>
      </c>
      <c r="C827" s="11" t="inlineStr">
        <is>
          <t>10ª Fase</t>
        </is>
      </c>
      <c r="D827" s="11" t="inlineStr">
        <is>
          <t>B</t>
        </is>
      </c>
      <c r="E827" s="11" t="inlineStr">
        <is>
          <t>Não</t>
        </is>
      </c>
      <c r="F827" s="11" t="n">
        <v>31</v>
      </c>
      <c r="G827" s="11" t="n">
        <v>5</v>
      </c>
      <c r="H827" s="12">
        <f>IF(F827=0,"",G827/F827)</f>
        <v/>
      </c>
    </row>
    <row r="828">
      <c r="A828" s="7" t="inlineStr">
        <is>
          <t>Simulado 02</t>
        </is>
      </c>
      <c r="B828" s="8" t="n">
        <v>4</v>
      </c>
      <c r="C828" s="8" t="inlineStr">
        <is>
          <t>10ª Fase</t>
        </is>
      </c>
      <c r="D828" s="8" t="inlineStr">
        <is>
          <t>C</t>
        </is>
      </c>
      <c r="E828" s="8" t="inlineStr">
        <is>
          <t>Sim</t>
        </is>
      </c>
      <c r="F828" s="8" t="n">
        <v>31</v>
      </c>
      <c r="G828" s="8" t="n">
        <v>17</v>
      </c>
      <c r="H828" s="9">
        <f>IF(F828=0,"",G828/F828)</f>
        <v/>
      </c>
    </row>
    <row r="829">
      <c r="A829" s="10" t="inlineStr">
        <is>
          <t>Simulado 02</t>
        </is>
      </c>
      <c r="B829" s="11" t="n">
        <v>4</v>
      </c>
      <c r="C829" s="11" t="inlineStr">
        <is>
          <t>10ª Fase</t>
        </is>
      </c>
      <c r="D829" s="11" t="inlineStr">
        <is>
          <t>D</t>
        </is>
      </c>
      <c r="E829" s="11" t="inlineStr">
        <is>
          <t>Não</t>
        </is>
      </c>
      <c r="F829" s="11" t="n">
        <v>31</v>
      </c>
      <c r="G829" s="11" t="n">
        <v>9</v>
      </c>
      <c r="H829" s="12">
        <f>IF(F829=0,"",G829/F829)</f>
        <v/>
      </c>
    </row>
    <row r="830">
      <c r="A830" s="7" t="inlineStr">
        <is>
          <t>Simulado 02</t>
        </is>
      </c>
      <c r="B830" s="8" t="n">
        <v>4</v>
      </c>
      <c r="C830" s="8" t="inlineStr">
        <is>
          <t>11ª Fase</t>
        </is>
      </c>
      <c r="D830" s="8" t="inlineStr">
        <is>
          <t>A</t>
        </is>
      </c>
      <c r="E830" s="8" t="inlineStr">
        <is>
          <t>Não</t>
        </is>
      </c>
      <c r="F830" s="8" t="n">
        <v>29</v>
      </c>
      <c r="G830" s="8" t="n">
        <v>2</v>
      </c>
      <c r="H830" s="9">
        <f>IF(F830=0,"",G830/F830)</f>
        <v/>
      </c>
    </row>
    <row r="831">
      <c r="A831" s="10" t="inlineStr">
        <is>
          <t>Simulado 02</t>
        </is>
      </c>
      <c r="B831" s="11" t="n">
        <v>4</v>
      </c>
      <c r="C831" s="11" t="inlineStr">
        <is>
          <t>11ª Fase</t>
        </is>
      </c>
      <c r="D831" s="11" t="inlineStr">
        <is>
          <t>B</t>
        </is>
      </c>
      <c r="E831" s="11" t="inlineStr">
        <is>
          <t>Não</t>
        </is>
      </c>
      <c r="F831" s="11" t="n">
        <v>29</v>
      </c>
      <c r="G831" s="11" t="n">
        <v>3</v>
      </c>
      <c r="H831" s="12">
        <f>IF(F831=0,"",G831/F831)</f>
        <v/>
      </c>
    </row>
    <row r="832">
      <c r="A832" s="7" t="inlineStr">
        <is>
          <t>Simulado 02</t>
        </is>
      </c>
      <c r="B832" s="8" t="n">
        <v>4</v>
      </c>
      <c r="C832" s="8" t="inlineStr">
        <is>
          <t>11ª Fase</t>
        </is>
      </c>
      <c r="D832" s="8" t="inlineStr">
        <is>
          <t>C</t>
        </is>
      </c>
      <c r="E832" s="8" t="inlineStr">
        <is>
          <t>Sim</t>
        </is>
      </c>
      <c r="F832" s="8" t="n">
        <v>29</v>
      </c>
      <c r="G832" s="8" t="n">
        <v>14</v>
      </c>
      <c r="H832" s="9">
        <f>IF(F832=0,"",G832/F832)</f>
        <v/>
      </c>
    </row>
    <row r="833">
      <c r="A833" s="10" t="inlineStr">
        <is>
          <t>Simulado 02</t>
        </is>
      </c>
      <c r="B833" s="11" t="n">
        <v>4</v>
      </c>
      <c r="C833" s="11" t="inlineStr">
        <is>
          <t>11ª Fase</t>
        </is>
      </c>
      <c r="D833" s="11" t="inlineStr">
        <is>
          <t>D</t>
        </is>
      </c>
      <c r="E833" s="11" t="inlineStr">
        <is>
          <t>Não</t>
        </is>
      </c>
      <c r="F833" s="11" t="n">
        <v>29</v>
      </c>
      <c r="G833" s="11" t="n">
        <v>10</v>
      </c>
      <c r="H833" s="12">
        <f>IF(F833=0,"",G833/F833)</f>
        <v/>
      </c>
    </row>
    <row r="834">
      <c r="A834" s="7" t="inlineStr">
        <is>
          <t>Simulado 02</t>
        </is>
      </c>
      <c r="B834" s="8" t="n">
        <v>5</v>
      </c>
      <c r="C834" s="8" t="inlineStr">
        <is>
          <t>6ª Fase</t>
        </is>
      </c>
      <c r="D834" s="8" t="inlineStr">
        <is>
          <t>A</t>
        </is>
      </c>
      <c r="E834" s="8" t="inlineStr">
        <is>
          <t>Não</t>
        </is>
      </c>
      <c r="F834" s="8" t="n">
        <v>28</v>
      </c>
      <c r="G834" s="8" t="n">
        <v>3</v>
      </c>
      <c r="H834" s="9">
        <f>IF(F834=0,"",G834/F834)</f>
        <v/>
      </c>
    </row>
    <row r="835">
      <c r="A835" s="10" t="inlineStr">
        <is>
          <t>Simulado 02</t>
        </is>
      </c>
      <c r="B835" s="11" t="n">
        <v>5</v>
      </c>
      <c r="C835" s="11" t="inlineStr">
        <is>
          <t>6ª Fase</t>
        </is>
      </c>
      <c r="D835" s="11" t="inlineStr">
        <is>
          <t>B</t>
        </is>
      </c>
      <c r="E835" s="11" t="inlineStr">
        <is>
          <t>Não</t>
        </is>
      </c>
      <c r="F835" s="11" t="n">
        <v>28</v>
      </c>
      <c r="G835" s="11" t="n">
        <v>6</v>
      </c>
      <c r="H835" s="12">
        <f>IF(F835=0,"",G835/F835)</f>
        <v/>
      </c>
    </row>
    <row r="836">
      <c r="A836" s="7" t="inlineStr">
        <is>
          <t>Simulado 02</t>
        </is>
      </c>
      <c r="B836" s="8" t="n">
        <v>5</v>
      </c>
      <c r="C836" s="8" t="inlineStr">
        <is>
          <t>6ª Fase</t>
        </is>
      </c>
      <c r="D836" s="8" t="inlineStr">
        <is>
          <t>C</t>
        </is>
      </c>
      <c r="E836" s="8" t="inlineStr">
        <is>
          <t>Sim</t>
        </is>
      </c>
      <c r="F836" s="8" t="n">
        <v>28</v>
      </c>
      <c r="G836" s="8" t="n">
        <v>19</v>
      </c>
      <c r="H836" s="9">
        <f>IF(F836=0,"",G836/F836)</f>
        <v/>
      </c>
    </row>
    <row r="837">
      <c r="A837" s="10" t="inlineStr">
        <is>
          <t>Simulado 02</t>
        </is>
      </c>
      <c r="B837" s="11" t="n">
        <v>5</v>
      </c>
      <c r="C837" s="11" t="inlineStr">
        <is>
          <t>6ª Fase</t>
        </is>
      </c>
      <c r="D837" s="11" t="inlineStr">
        <is>
          <t>D</t>
        </is>
      </c>
      <c r="E837" s="11" t="inlineStr">
        <is>
          <t>Não</t>
        </is>
      </c>
      <c r="F837" s="11" t="n">
        <v>28</v>
      </c>
      <c r="G837" s="11" t="n">
        <v>0</v>
      </c>
      <c r="H837" s="12">
        <f>IF(F837=0,"",G837/F837)</f>
        <v/>
      </c>
    </row>
    <row r="838">
      <c r="A838" s="7" t="inlineStr">
        <is>
          <t>Simulado 02</t>
        </is>
      </c>
      <c r="B838" s="8" t="n">
        <v>5</v>
      </c>
      <c r="C838" s="8" t="inlineStr">
        <is>
          <t>7ª Fase</t>
        </is>
      </c>
      <c r="D838" s="8" t="inlineStr">
        <is>
          <t>A</t>
        </is>
      </c>
      <c r="E838" s="8" t="inlineStr">
        <is>
          <t>Não</t>
        </is>
      </c>
      <c r="F838" s="8" t="n">
        <v>32</v>
      </c>
      <c r="G838" s="8" t="n">
        <v>3</v>
      </c>
      <c r="H838" s="9">
        <f>IF(F838=0,"",G838/F838)</f>
        <v/>
      </c>
    </row>
    <row r="839">
      <c r="A839" s="10" t="inlineStr">
        <is>
          <t>Simulado 02</t>
        </is>
      </c>
      <c r="B839" s="11" t="n">
        <v>5</v>
      </c>
      <c r="C839" s="11" t="inlineStr">
        <is>
          <t>7ª Fase</t>
        </is>
      </c>
      <c r="D839" s="11" t="inlineStr">
        <is>
          <t>B</t>
        </is>
      </c>
      <c r="E839" s="11" t="inlineStr">
        <is>
          <t>Não</t>
        </is>
      </c>
      <c r="F839" s="11" t="n">
        <v>32</v>
      </c>
      <c r="G839" s="11" t="n">
        <v>8</v>
      </c>
      <c r="H839" s="12">
        <f>IF(F839=0,"",G839/F839)</f>
        <v/>
      </c>
    </row>
    <row r="840">
      <c r="A840" s="7" t="inlineStr">
        <is>
          <t>Simulado 02</t>
        </is>
      </c>
      <c r="B840" s="8" t="n">
        <v>5</v>
      </c>
      <c r="C840" s="8" t="inlineStr">
        <is>
          <t>7ª Fase</t>
        </is>
      </c>
      <c r="D840" s="8" t="inlineStr">
        <is>
          <t>C</t>
        </is>
      </c>
      <c r="E840" s="8" t="inlineStr">
        <is>
          <t>Sim</t>
        </is>
      </c>
      <c r="F840" s="8" t="n">
        <v>32</v>
      </c>
      <c r="G840" s="8" t="n">
        <v>20</v>
      </c>
      <c r="H840" s="9">
        <f>IF(F840=0,"",G840/F840)</f>
        <v/>
      </c>
    </row>
    <row r="841">
      <c r="A841" s="10" t="inlineStr">
        <is>
          <t>Simulado 02</t>
        </is>
      </c>
      <c r="B841" s="11" t="n">
        <v>5</v>
      </c>
      <c r="C841" s="11" t="inlineStr">
        <is>
          <t>7ª Fase</t>
        </is>
      </c>
      <c r="D841" s="11" t="inlineStr">
        <is>
          <t>D</t>
        </is>
      </c>
      <c r="E841" s="11" t="inlineStr">
        <is>
          <t>Não</t>
        </is>
      </c>
      <c r="F841" s="11" t="n">
        <v>32</v>
      </c>
      <c r="G841" s="11" t="n">
        <v>1</v>
      </c>
      <c r="H841" s="12">
        <f>IF(F841=0,"",G841/F841)</f>
        <v/>
      </c>
    </row>
    <row r="842">
      <c r="A842" s="7" t="inlineStr">
        <is>
          <t>Simulado 02</t>
        </is>
      </c>
      <c r="B842" s="8" t="n">
        <v>5</v>
      </c>
      <c r="C842" s="8" t="inlineStr">
        <is>
          <t>10ª Fase</t>
        </is>
      </c>
      <c r="D842" s="8" t="inlineStr">
        <is>
          <t>A</t>
        </is>
      </c>
      <c r="E842" s="8" t="inlineStr">
        <is>
          <t>Não</t>
        </is>
      </c>
      <c r="F842" s="8" t="n">
        <v>31</v>
      </c>
      <c r="G842" s="8" t="n">
        <v>8</v>
      </c>
      <c r="H842" s="9">
        <f>IF(F842=0,"",G842/F842)</f>
        <v/>
      </c>
    </row>
    <row r="843">
      <c r="A843" s="10" t="inlineStr">
        <is>
          <t>Simulado 02</t>
        </is>
      </c>
      <c r="B843" s="11" t="n">
        <v>5</v>
      </c>
      <c r="C843" s="11" t="inlineStr">
        <is>
          <t>10ª Fase</t>
        </is>
      </c>
      <c r="D843" s="11" t="inlineStr">
        <is>
          <t>B</t>
        </is>
      </c>
      <c r="E843" s="11" t="inlineStr">
        <is>
          <t>Não</t>
        </is>
      </c>
      <c r="F843" s="11" t="n">
        <v>31</v>
      </c>
      <c r="G843" s="11" t="n">
        <v>10</v>
      </c>
      <c r="H843" s="12">
        <f>IF(F843=0,"",G843/F843)</f>
        <v/>
      </c>
    </row>
    <row r="844">
      <c r="A844" s="7" t="inlineStr">
        <is>
          <t>Simulado 02</t>
        </is>
      </c>
      <c r="B844" s="8" t="n">
        <v>5</v>
      </c>
      <c r="C844" s="8" t="inlineStr">
        <is>
          <t>10ª Fase</t>
        </is>
      </c>
      <c r="D844" s="8" t="inlineStr">
        <is>
          <t>C</t>
        </is>
      </c>
      <c r="E844" s="8" t="inlineStr">
        <is>
          <t>Sim</t>
        </is>
      </c>
      <c r="F844" s="8" t="n">
        <v>31</v>
      </c>
      <c r="G844" s="8" t="n">
        <v>10</v>
      </c>
      <c r="H844" s="9">
        <f>IF(F844=0,"",G844/F844)</f>
        <v/>
      </c>
    </row>
    <row r="845">
      <c r="A845" s="10" t="inlineStr">
        <is>
          <t>Simulado 02</t>
        </is>
      </c>
      <c r="B845" s="11" t="n">
        <v>5</v>
      </c>
      <c r="C845" s="11" t="inlineStr">
        <is>
          <t>10ª Fase</t>
        </is>
      </c>
      <c r="D845" s="11" t="inlineStr">
        <is>
          <t>D</t>
        </is>
      </c>
      <c r="E845" s="11" t="inlineStr">
        <is>
          <t>Não</t>
        </is>
      </c>
      <c r="F845" s="11" t="n">
        <v>31</v>
      </c>
      <c r="G845" s="11" t="n">
        <v>3</v>
      </c>
      <c r="H845" s="12">
        <f>IF(F845=0,"",G845/F845)</f>
        <v/>
      </c>
    </row>
    <row r="846">
      <c r="A846" s="7" t="inlineStr">
        <is>
          <t>Simulado 02</t>
        </is>
      </c>
      <c r="B846" s="8" t="n">
        <v>5</v>
      </c>
      <c r="C846" s="8" t="inlineStr">
        <is>
          <t>11ª Fase</t>
        </is>
      </c>
      <c r="D846" s="8" t="inlineStr">
        <is>
          <t>A</t>
        </is>
      </c>
      <c r="E846" s="8" t="inlineStr">
        <is>
          <t>Não</t>
        </is>
      </c>
      <c r="F846" s="8" t="n">
        <v>29</v>
      </c>
      <c r="G846" s="8" t="n">
        <v>1</v>
      </c>
      <c r="H846" s="9">
        <f>IF(F846=0,"",G846/F846)</f>
        <v/>
      </c>
    </row>
    <row r="847">
      <c r="A847" s="10" t="inlineStr">
        <is>
          <t>Simulado 02</t>
        </is>
      </c>
      <c r="B847" s="11" t="n">
        <v>5</v>
      </c>
      <c r="C847" s="11" t="inlineStr">
        <is>
          <t>11ª Fase</t>
        </is>
      </c>
      <c r="D847" s="11" t="inlineStr">
        <is>
          <t>B</t>
        </is>
      </c>
      <c r="E847" s="11" t="inlineStr">
        <is>
          <t>Não</t>
        </is>
      </c>
      <c r="F847" s="11" t="n">
        <v>29</v>
      </c>
      <c r="G847" s="11" t="n">
        <v>7</v>
      </c>
      <c r="H847" s="12">
        <f>IF(F847=0,"",G847/F847)</f>
        <v/>
      </c>
    </row>
    <row r="848">
      <c r="A848" s="7" t="inlineStr">
        <is>
          <t>Simulado 02</t>
        </is>
      </c>
      <c r="B848" s="8" t="n">
        <v>5</v>
      </c>
      <c r="C848" s="8" t="inlineStr">
        <is>
          <t>11ª Fase</t>
        </is>
      </c>
      <c r="D848" s="8" t="inlineStr">
        <is>
          <t>C</t>
        </is>
      </c>
      <c r="E848" s="8" t="inlineStr">
        <is>
          <t>Sim</t>
        </is>
      </c>
      <c r="F848" s="8" t="n">
        <v>29</v>
      </c>
      <c r="G848" s="8" t="n">
        <v>19</v>
      </c>
      <c r="H848" s="9">
        <f>IF(F848=0,"",G848/F848)</f>
        <v/>
      </c>
    </row>
    <row r="849">
      <c r="A849" s="10" t="inlineStr">
        <is>
          <t>Simulado 02</t>
        </is>
      </c>
      <c r="B849" s="11" t="n">
        <v>5</v>
      </c>
      <c r="C849" s="11" t="inlineStr">
        <is>
          <t>11ª Fase</t>
        </is>
      </c>
      <c r="D849" s="11" t="inlineStr">
        <is>
          <t>D</t>
        </is>
      </c>
      <c r="E849" s="11" t="inlineStr">
        <is>
          <t>Não</t>
        </is>
      </c>
      <c r="F849" s="11" t="n">
        <v>29</v>
      </c>
      <c r="G849" s="11" t="n">
        <v>2</v>
      </c>
      <c r="H849" s="12">
        <f>IF(F849=0,"",G849/F849)</f>
        <v/>
      </c>
    </row>
    <row r="850">
      <c r="A850" s="7" t="inlineStr">
        <is>
          <t>Simulado 02</t>
        </is>
      </c>
      <c r="B850" s="8" t="n">
        <v>6</v>
      </c>
      <c r="C850" s="8" t="inlineStr">
        <is>
          <t>6ª Fase</t>
        </is>
      </c>
      <c r="D850" s="8" t="inlineStr">
        <is>
          <t>A</t>
        </is>
      </c>
      <c r="E850" s="8" t="inlineStr">
        <is>
          <t>Não</t>
        </is>
      </c>
      <c r="F850" s="8" t="n">
        <v>28</v>
      </c>
      <c r="G850" s="8" t="n">
        <v>5</v>
      </c>
      <c r="H850" s="9">
        <f>IF(F850=0,"",G850/F850)</f>
        <v/>
      </c>
    </row>
    <row r="851">
      <c r="A851" s="10" t="inlineStr">
        <is>
          <t>Simulado 02</t>
        </is>
      </c>
      <c r="B851" s="11" t="n">
        <v>6</v>
      </c>
      <c r="C851" s="11" t="inlineStr">
        <is>
          <t>6ª Fase</t>
        </is>
      </c>
      <c r="D851" s="11" t="inlineStr">
        <is>
          <t>B</t>
        </is>
      </c>
      <c r="E851" s="11" t="inlineStr">
        <is>
          <t>Não</t>
        </is>
      </c>
      <c r="F851" s="11" t="n">
        <v>28</v>
      </c>
      <c r="G851" s="11" t="n">
        <v>4</v>
      </c>
      <c r="H851" s="12">
        <f>IF(F851=0,"",G851/F851)</f>
        <v/>
      </c>
    </row>
    <row r="852">
      <c r="A852" s="7" t="inlineStr">
        <is>
          <t>Simulado 02</t>
        </is>
      </c>
      <c r="B852" s="8" t="n">
        <v>6</v>
      </c>
      <c r="C852" s="8" t="inlineStr">
        <is>
          <t>6ª Fase</t>
        </is>
      </c>
      <c r="D852" s="8" t="inlineStr">
        <is>
          <t>C</t>
        </is>
      </c>
      <c r="E852" s="8" t="inlineStr">
        <is>
          <t>Não</t>
        </is>
      </c>
      <c r="F852" s="8" t="n">
        <v>28</v>
      </c>
      <c r="G852" s="8" t="n">
        <v>4</v>
      </c>
      <c r="H852" s="9">
        <f>IF(F852=0,"",G852/F852)</f>
        <v/>
      </c>
    </row>
    <row r="853">
      <c r="A853" s="10" t="inlineStr">
        <is>
          <t>Simulado 02</t>
        </is>
      </c>
      <c r="B853" s="11" t="n">
        <v>6</v>
      </c>
      <c r="C853" s="11" t="inlineStr">
        <is>
          <t>6ª Fase</t>
        </is>
      </c>
      <c r="D853" s="11" t="inlineStr">
        <is>
          <t>D</t>
        </is>
      </c>
      <c r="E853" s="11" t="inlineStr">
        <is>
          <t>Sim</t>
        </is>
      </c>
      <c r="F853" s="11" t="n">
        <v>28</v>
      </c>
      <c r="G853" s="11" t="n">
        <v>15</v>
      </c>
      <c r="H853" s="12">
        <f>IF(F853=0,"",G853/F853)</f>
        <v/>
      </c>
    </row>
    <row r="854">
      <c r="A854" s="7" t="inlineStr">
        <is>
          <t>Simulado 02</t>
        </is>
      </c>
      <c r="B854" s="8" t="n">
        <v>6</v>
      </c>
      <c r="C854" s="8" t="inlineStr">
        <is>
          <t>6ª Fase</t>
        </is>
      </c>
      <c r="D854" s="8" t="inlineStr">
        <is>
          <t>E</t>
        </is>
      </c>
      <c r="E854" s="8" t="inlineStr">
        <is>
          <t>Não</t>
        </is>
      </c>
      <c r="F854" s="8" t="n">
        <v>28</v>
      </c>
      <c r="G854" s="8" t="n">
        <v>0</v>
      </c>
      <c r="H854" s="9">
        <f>IF(F854=0,"",G854/F854)</f>
        <v/>
      </c>
    </row>
    <row r="855">
      <c r="A855" s="10" t="inlineStr">
        <is>
          <t>Simulado 02</t>
        </is>
      </c>
      <c r="B855" s="11" t="n">
        <v>6</v>
      </c>
      <c r="C855" s="11" t="inlineStr">
        <is>
          <t>7ª Fase</t>
        </is>
      </c>
      <c r="D855" s="11" t="inlineStr">
        <is>
          <t>A</t>
        </is>
      </c>
      <c r="E855" s="11" t="inlineStr">
        <is>
          <t>Não</t>
        </is>
      </c>
      <c r="F855" s="11" t="n">
        <v>32</v>
      </c>
      <c r="G855" s="11" t="n">
        <v>5</v>
      </c>
      <c r="H855" s="12">
        <f>IF(F855=0,"",G855/F855)</f>
        <v/>
      </c>
    </row>
    <row r="856">
      <c r="A856" s="7" t="inlineStr">
        <is>
          <t>Simulado 02</t>
        </is>
      </c>
      <c r="B856" s="8" t="n">
        <v>6</v>
      </c>
      <c r="C856" s="8" t="inlineStr">
        <is>
          <t>7ª Fase</t>
        </is>
      </c>
      <c r="D856" s="8" t="inlineStr">
        <is>
          <t>B</t>
        </is>
      </c>
      <c r="E856" s="8" t="inlineStr">
        <is>
          <t>Não</t>
        </is>
      </c>
      <c r="F856" s="8" t="n">
        <v>32</v>
      </c>
      <c r="G856" s="8" t="n">
        <v>1</v>
      </c>
      <c r="H856" s="9">
        <f>IF(F856=0,"",G856/F856)</f>
        <v/>
      </c>
    </row>
    <row r="857">
      <c r="A857" s="10" t="inlineStr">
        <is>
          <t>Simulado 02</t>
        </is>
      </c>
      <c r="B857" s="11" t="n">
        <v>6</v>
      </c>
      <c r="C857" s="11" t="inlineStr">
        <is>
          <t>7ª Fase</t>
        </is>
      </c>
      <c r="D857" s="11" t="inlineStr">
        <is>
          <t>C</t>
        </is>
      </c>
      <c r="E857" s="11" t="inlineStr">
        <is>
          <t>Não</t>
        </is>
      </c>
      <c r="F857" s="11" t="n">
        <v>32</v>
      </c>
      <c r="G857" s="11" t="n">
        <v>1</v>
      </c>
      <c r="H857" s="12">
        <f>IF(F857=0,"",G857/F857)</f>
        <v/>
      </c>
    </row>
    <row r="858">
      <c r="A858" s="7" t="inlineStr">
        <is>
          <t>Simulado 02</t>
        </is>
      </c>
      <c r="B858" s="8" t="n">
        <v>6</v>
      </c>
      <c r="C858" s="8" t="inlineStr">
        <is>
          <t>7ª Fase</t>
        </is>
      </c>
      <c r="D858" s="8" t="inlineStr">
        <is>
          <t>D</t>
        </is>
      </c>
      <c r="E858" s="8" t="inlineStr">
        <is>
          <t>Sim</t>
        </is>
      </c>
      <c r="F858" s="8" t="n">
        <v>32</v>
      </c>
      <c r="G858" s="8" t="n">
        <v>25</v>
      </c>
      <c r="H858" s="9">
        <f>IF(F858=0,"",G858/F858)</f>
        <v/>
      </c>
    </row>
    <row r="859">
      <c r="A859" s="10" t="inlineStr">
        <is>
          <t>Simulado 02</t>
        </is>
      </c>
      <c r="B859" s="11" t="n">
        <v>6</v>
      </c>
      <c r="C859" s="11" t="inlineStr">
        <is>
          <t>7ª Fase</t>
        </is>
      </c>
      <c r="D859" s="11" t="inlineStr">
        <is>
          <t>E</t>
        </is>
      </c>
      <c r="E859" s="11" t="inlineStr">
        <is>
          <t>Não</t>
        </is>
      </c>
      <c r="F859" s="11" t="n">
        <v>32</v>
      </c>
      <c r="G859" s="11" t="n">
        <v>0</v>
      </c>
      <c r="H859" s="12">
        <f>IF(F859=0,"",G859/F859)</f>
        <v/>
      </c>
    </row>
    <row r="860">
      <c r="A860" s="7" t="inlineStr">
        <is>
          <t>Simulado 02</t>
        </is>
      </c>
      <c r="B860" s="8" t="n">
        <v>6</v>
      </c>
      <c r="C860" s="8" t="inlineStr">
        <is>
          <t>10ª Fase</t>
        </is>
      </c>
      <c r="D860" s="8" t="inlineStr">
        <is>
          <t>A</t>
        </is>
      </c>
      <c r="E860" s="8" t="inlineStr">
        <is>
          <t>Não</t>
        </is>
      </c>
      <c r="F860" s="8" t="n">
        <v>31</v>
      </c>
      <c r="G860" s="8" t="n">
        <v>4</v>
      </c>
      <c r="H860" s="9">
        <f>IF(F860=0,"",G860/F860)</f>
        <v/>
      </c>
    </row>
    <row r="861">
      <c r="A861" s="10" t="inlineStr">
        <is>
          <t>Simulado 02</t>
        </is>
      </c>
      <c r="B861" s="11" t="n">
        <v>6</v>
      </c>
      <c r="C861" s="11" t="inlineStr">
        <is>
          <t>10ª Fase</t>
        </is>
      </c>
      <c r="D861" s="11" t="inlineStr">
        <is>
          <t>B</t>
        </is>
      </c>
      <c r="E861" s="11" t="inlineStr">
        <is>
          <t>Não</t>
        </is>
      </c>
      <c r="F861" s="11" t="n">
        <v>31</v>
      </c>
      <c r="G861" s="11" t="n">
        <v>1</v>
      </c>
      <c r="H861" s="12">
        <f>IF(F861=0,"",G861/F861)</f>
        <v/>
      </c>
    </row>
    <row r="862">
      <c r="A862" s="7" t="inlineStr">
        <is>
          <t>Simulado 02</t>
        </is>
      </c>
      <c r="B862" s="8" t="n">
        <v>6</v>
      </c>
      <c r="C862" s="8" t="inlineStr">
        <is>
          <t>10ª Fase</t>
        </is>
      </c>
      <c r="D862" s="8" t="inlineStr">
        <is>
          <t>C</t>
        </is>
      </c>
      <c r="E862" s="8" t="inlineStr">
        <is>
          <t>Não</t>
        </is>
      </c>
      <c r="F862" s="8" t="n">
        <v>31</v>
      </c>
      <c r="G862" s="8" t="n">
        <v>3</v>
      </c>
      <c r="H862" s="9">
        <f>IF(F862=0,"",G862/F862)</f>
        <v/>
      </c>
    </row>
    <row r="863">
      <c r="A863" s="10" t="inlineStr">
        <is>
          <t>Simulado 02</t>
        </is>
      </c>
      <c r="B863" s="11" t="n">
        <v>6</v>
      </c>
      <c r="C863" s="11" t="inlineStr">
        <is>
          <t>10ª Fase</t>
        </is>
      </c>
      <c r="D863" s="11" t="inlineStr">
        <is>
          <t>D</t>
        </is>
      </c>
      <c r="E863" s="11" t="inlineStr">
        <is>
          <t>Sim</t>
        </is>
      </c>
      <c r="F863" s="11" t="n">
        <v>31</v>
      </c>
      <c r="G863" s="11" t="n">
        <v>22</v>
      </c>
      <c r="H863" s="12">
        <f>IF(F863=0,"",G863/F863)</f>
        <v/>
      </c>
    </row>
    <row r="864">
      <c r="A864" s="7" t="inlineStr">
        <is>
          <t>Simulado 02</t>
        </is>
      </c>
      <c r="B864" s="8" t="n">
        <v>6</v>
      </c>
      <c r="C864" s="8" t="inlineStr">
        <is>
          <t>10ª Fase</t>
        </is>
      </c>
      <c r="D864" s="8" t="inlineStr">
        <is>
          <t>E</t>
        </is>
      </c>
      <c r="E864" s="8" t="inlineStr">
        <is>
          <t>Não</t>
        </is>
      </c>
      <c r="F864" s="8" t="n">
        <v>31</v>
      </c>
      <c r="G864" s="8" t="n">
        <v>1</v>
      </c>
      <c r="H864" s="9">
        <f>IF(F864=0,"",G864/F864)</f>
        <v/>
      </c>
    </row>
    <row r="865">
      <c r="A865" s="10" t="inlineStr">
        <is>
          <t>Simulado 02</t>
        </is>
      </c>
      <c r="B865" s="11" t="n">
        <v>6</v>
      </c>
      <c r="C865" s="11" t="inlineStr">
        <is>
          <t>11ª Fase</t>
        </is>
      </c>
      <c r="D865" s="11" t="inlineStr">
        <is>
          <t>A</t>
        </is>
      </c>
      <c r="E865" s="11" t="inlineStr">
        <is>
          <t>Não</t>
        </is>
      </c>
      <c r="F865" s="11" t="n">
        <v>29</v>
      </c>
      <c r="G865" s="11" t="n">
        <v>3</v>
      </c>
      <c r="H865" s="12">
        <f>IF(F865=0,"",G865/F865)</f>
        <v/>
      </c>
    </row>
    <row r="866">
      <c r="A866" s="7" t="inlineStr">
        <is>
          <t>Simulado 02</t>
        </is>
      </c>
      <c r="B866" s="8" t="n">
        <v>6</v>
      </c>
      <c r="C866" s="8" t="inlineStr">
        <is>
          <t>11ª Fase</t>
        </is>
      </c>
      <c r="D866" s="8" t="inlineStr">
        <is>
          <t>B</t>
        </is>
      </c>
      <c r="E866" s="8" t="inlineStr">
        <is>
          <t>Não</t>
        </is>
      </c>
      <c r="F866" s="8" t="n">
        <v>29</v>
      </c>
      <c r="G866" s="8" t="n">
        <v>0</v>
      </c>
      <c r="H866" s="9">
        <f>IF(F866=0,"",G866/F866)</f>
        <v/>
      </c>
    </row>
    <row r="867">
      <c r="A867" s="10" t="inlineStr">
        <is>
          <t>Simulado 02</t>
        </is>
      </c>
      <c r="B867" s="11" t="n">
        <v>6</v>
      </c>
      <c r="C867" s="11" t="inlineStr">
        <is>
          <t>11ª Fase</t>
        </is>
      </c>
      <c r="D867" s="11" t="inlineStr">
        <is>
          <t>C</t>
        </is>
      </c>
      <c r="E867" s="11" t="inlineStr">
        <is>
          <t>Não</t>
        </is>
      </c>
      <c r="F867" s="11" t="n">
        <v>29</v>
      </c>
      <c r="G867" s="11" t="n">
        <v>5</v>
      </c>
      <c r="H867" s="12">
        <f>IF(F867=0,"",G867/F867)</f>
        <v/>
      </c>
    </row>
    <row r="868">
      <c r="A868" s="7" t="inlineStr">
        <is>
          <t>Simulado 02</t>
        </is>
      </c>
      <c r="B868" s="8" t="n">
        <v>6</v>
      </c>
      <c r="C868" s="8" t="inlineStr">
        <is>
          <t>11ª Fase</t>
        </is>
      </c>
      <c r="D868" s="8" t="inlineStr">
        <is>
          <t>D</t>
        </is>
      </c>
      <c r="E868" s="8" t="inlineStr">
        <is>
          <t>Sim</t>
        </is>
      </c>
      <c r="F868" s="8" t="n">
        <v>29</v>
      </c>
      <c r="G868" s="8" t="n">
        <v>21</v>
      </c>
      <c r="H868" s="9">
        <f>IF(F868=0,"",G868/F868)</f>
        <v/>
      </c>
    </row>
    <row r="869">
      <c r="A869" s="10" t="inlineStr">
        <is>
          <t>Simulado 02</t>
        </is>
      </c>
      <c r="B869" s="11" t="n">
        <v>6</v>
      </c>
      <c r="C869" s="11" t="inlineStr">
        <is>
          <t>11ª Fase</t>
        </is>
      </c>
      <c r="D869" s="11" t="inlineStr">
        <is>
          <t>E</t>
        </is>
      </c>
      <c r="E869" s="11" t="inlineStr">
        <is>
          <t>Não</t>
        </is>
      </c>
      <c r="F869" s="11" t="n">
        <v>29</v>
      </c>
      <c r="G869" s="11" t="n">
        <v>0</v>
      </c>
      <c r="H869" s="12">
        <f>IF(F869=0,"",G869/F869)</f>
        <v/>
      </c>
    </row>
    <row r="870">
      <c r="A870" s="7" t="inlineStr">
        <is>
          <t>Simulado 02</t>
        </is>
      </c>
      <c r="B870" s="8" t="n">
        <v>7</v>
      </c>
      <c r="C870" s="8" t="inlineStr">
        <is>
          <t>6ª Fase</t>
        </is>
      </c>
      <c r="D870" s="8" t="inlineStr">
        <is>
          <t>A</t>
        </is>
      </c>
      <c r="E870" s="8" t="inlineStr">
        <is>
          <t>Não</t>
        </is>
      </c>
      <c r="F870" s="8" t="n">
        <v>28</v>
      </c>
      <c r="G870" s="8" t="n">
        <v>1</v>
      </c>
      <c r="H870" s="9">
        <f>IF(F870=0,"",G870/F870)</f>
        <v/>
      </c>
    </row>
    <row r="871">
      <c r="A871" s="10" t="inlineStr">
        <is>
          <t>Simulado 02</t>
        </is>
      </c>
      <c r="B871" s="11" t="n">
        <v>7</v>
      </c>
      <c r="C871" s="11" t="inlineStr">
        <is>
          <t>6ª Fase</t>
        </is>
      </c>
      <c r="D871" s="11" t="inlineStr">
        <is>
          <t>B</t>
        </is>
      </c>
      <c r="E871" s="11" t="inlineStr">
        <is>
          <t>Não</t>
        </is>
      </c>
      <c r="F871" s="11" t="n">
        <v>28</v>
      </c>
      <c r="G871" s="11" t="n">
        <v>4</v>
      </c>
      <c r="H871" s="12">
        <f>IF(F871=0,"",G871/F871)</f>
        <v/>
      </c>
    </row>
    <row r="872">
      <c r="A872" s="7" t="inlineStr">
        <is>
          <t>Simulado 02</t>
        </is>
      </c>
      <c r="B872" s="8" t="n">
        <v>7</v>
      </c>
      <c r="C872" s="8" t="inlineStr">
        <is>
          <t>6ª Fase</t>
        </is>
      </c>
      <c r="D872" s="8" t="inlineStr">
        <is>
          <t>C</t>
        </is>
      </c>
      <c r="E872" s="8" t="inlineStr">
        <is>
          <t>Sim</t>
        </is>
      </c>
      <c r="F872" s="8" t="n">
        <v>28</v>
      </c>
      <c r="G872" s="8" t="n">
        <v>21</v>
      </c>
      <c r="H872" s="9">
        <f>IF(F872=0,"",G872/F872)</f>
        <v/>
      </c>
    </row>
    <row r="873">
      <c r="A873" s="10" t="inlineStr">
        <is>
          <t>Simulado 02</t>
        </is>
      </c>
      <c r="B873" s="11" t="n">
        <v>7</v>
      </c>
      <c r="C873" s="11" t="inlineStr">
        <is>
          <t>6ª Fase</t>
        </is>
      </c>
      <c r="D873" s="11" t="inlineStr">
        <is>
          <t>D</t>
        </is>
      </c>
      <c r="E873" s="11" t="inlineStr">
        <is>
          <t>Não</t>
        </is>
      </c>
      <c r="F873" s="11" t="n">
        <v>28</v>
      </c>
      <c r="G873" s="11" t="n">
        <v>2</v>
      </c>
      <c r="H873" s="12">
        <f>IF(F873=0,"",G873/F873)</f>
        <v/>
      </c>
    </row>
    <row r="874">
      <c r="A874" s="7" t="inlineStr">
        <is>
          <t>Simulado 02</t>
        </is>
      </c>
      <c r="B874" s="8" t="n">
        <v>7</v>
      </c>
      <c r="C874" s="8" t="inlineStr">
        <is>
          <t>7ª Fase</t>
        </is>
      </c>
      <c r="D874" s="8" t="inlineStr">
        <is>
          <t>A</t>
        </is>
      </c>
      <c r="E874" s="8" t="inlineStr">
        <is>
          <t>Não</t>
        </is>
      </c>
      <c r="F874" s="8" t="n">
        <v>32</v>
      </c>
      <c r="G874" s="8" t="n">
        <v>1</v>
      </c>
      <c r="H874" s="9">
        <f>IF(F874=0,"",G874/F874)</f>
        <v/>
      </c>
    </row>
    <row r="875">
      <c r="A875" s="10" t="inlineStr">
        <is>
          <t>Simulado 02</t>
        </is>
      </c>
      <c r="B875" s="11" t="n">
        <v>7</v>
      </c>
      <c r="C875" s="11" t="inlineStr">
        <is>
          <t>7ª Fase</t>
        </is>
      </c>
      <c r="D875" s="11" t="inlineStr">
        <is>
          <t>B</t>
        </is>
      </c>
      <c r="E875" s="11" t="inlineStr">
        <is>
          <t>Não</t>
        </is>
      </c>
      <c r="F875" s="11" t="n">
        <v>32</v>
      </c>
      <c r="G875" s="11" t="n">
        <v>3</v>
      </c>
      <c r="H875" s="12">
        <f>IF(F875=0,"",G875/F875)</f>
        <v/>
      </c>
    </row>
    <row r="876">
      <c r="A876" s="7" t="inlineStr">
        <is>
          <t>Simulado 02</t>
        </is>
      </c>
      <c r="B876" s="8" t="n">
        <v>7</v>
      </c>
      <c r="C876" s="8" t="inlineStr">
        <is>
          <t>7ª Fase</t>
        </is>
      </c>
      <c r="D876" s="8" t="inlineStr">
        <is>
          <t>C</t>
        </is>
      </c>
      <c r="E876" s="8" t="inlineStr">
        <is>
          <t>Sim</t>
        </is>
      </c>
      <c r="F876" s="8" t="n">
        <v>32</v>
      </c>
      <c r="G876" s="8" t="n">
        <v>27</v>
      </c>
      <c r="H876" s="9">
        <f>IF(F876=0,"",G876/F876)</f>
        <v/>
      </c>
    </row>
    <row r="877">
      <c r="A877" s="10" t="inlineStr">
        <is>
          <t>Simulado 02</t>
        </is>
      </c>
      <c r="B877" s="11" t="n">
        <v>7</v>
      </c>
      <c r="C877" s="11" t="inlineStr">
        <is>
          <t>7ª Fase</t>
        </is>
      </c>
      <c r="D877" s="11" t="inlineStr">
        <is>
          <t>D</t>
        </is>
      </c>
      <c r="E877" s="11" t="inlineStr">
        <is>
          <t>Não</t>
        </is>
      </c>
      <c r="F877" s="11" t="n">
        <v>32</v>
      </c>
      <c r="G877" s="11" t="n">
        <v>1</v>
      </c>
      <c r="H877" s="12">
        <f>IF(F877=0,"",G877/F877)</f>
        <v/>
      </c>
    </row>
    <row r="878">
      <c r="A878" s="7" t="inlineStr">
        <is>
          <t>Simulado 02</t>
        </is>
      </c>
      <c r="B878" s="8" t="n">
        <v>7</v>
      </c>
      <c r="C878" s="8" t="inlineStr">
        <is>
          <t>10ª Fase</t>
        </is>
      </c>
      <c r="D878" s="8" t="inlineStr">
        <is>
          <t>A</t>
        </is>
      </c>
      <c r="E878" s="8" t="inlineStr">
        <is>
          <t>Não</t>
        </is>
      </c>
      <c r="F878" s="8" t="n">
        <v>31</v>
      </c>
      <c r="G878" s="8" t="n">
        <v>1</v>
      </c>
      <c r="H878" s="9">
        <f>IF(F878=0,"",G878/F878)</f>
        <v/>
      </c>
    </row>
    <row r="879">
      <c r="A879" s="10" t="inlineStr">
        <is>
          <t>Simulado 02</t>
        </is>
      </c>
      <c r="B879" s="11" t="n">
        <v>7</v>
      </c>
      <c r="C879" s="11" t="inlineStr">
        <is>
          <t>10ª Fase</t>
        </is>
      </c>
      <c r="D879" s="11" t="inlineStr">
        <is>
          <t>B</t>
        </is>
      </c>
      <c r="E879" s="11" t="inlineStr">
        <is>
          <t>Não</t>
        </is>
      </c>
      <c r="F879" s="11" t="n">
        <v>31</v>
      </c>
      <c r="G879" s="11" t="n">
        <v>4</v>
      </c>
      <c r="H879" s="12">
        <f>IF(F879=0,"",G879/F879)</f>
        <v/>
      </c>
    </row>
    <row r="880">
      <c r="A880" s="7" t="inlineStr">
        <is>
          <t>Simulado 02</t>
        </is>
      </c>
      <c r="B880" s="8" t="n">
        <v>7</v>
      </c>
      <c r="C880" s="8" t="inlineStr">
        <is>
          <t>10ª Fase</t>
        </is>
      </c>
      <c r="D880" s="8" t="inlineStr">
        <is>
          <t>C</t>
        </is>
      </c>
      <c r="E880" s="8" t="inlineStr">
        <is>
          <t>Sim</t>
        </is>
      </c>
      <c r="F880" s="8" t="n">
        <v>31</v>
      </c>
      <c r="G880" s="8" t="n">
        <v>26</v>
      </c>
      <c r="H880" s="9">
        <f>IF(F880=0,"",G880/F880)</f>
        <v/>
      </c>
    </row>
    <row r="881">
      <c r="A881" s="10" t="inlineStr">
        <is>
          <t>Simulado 02</t>
        </is>
      </c>
      <c r="B881" s="11" t="n">
        <v>7</v>
      </c>
      <c r="C881" s="11" t="inlineStr">
        <is>
          <t>10ª Fase</t>
        </is>
      </c>
      <c r="D881" s="11" t="inlineStr">
        <is>
          <t>D</t>
        </is>
      </c>
      <c r="E881" s="11" t="inlineStr">
        <is>
          <t>Não</t>
        </is>
      </c>
      <c r="F881" s="11" t="n">
        <v>31</v>
      </c>
      <c r="G881" s="11" t="n">
        <v>0</v>
      </c>
      <c r="H881" s="12">
        <f>IF(F881=0,"",G881/F881)</f>
        <v/>
      </c>
    </row>
    <row r="882">
      <c r="A882" s="7" t="inlineStr">
        <is>
          <t>Simulado 02</t>
        </is>
      </c>
      <c r="B882" s="8" t="n">
        <v>7</v>
      </c>
      <c r="C882" s="8" t="inlineStr">
        <is>
          <t>11ª Fase</t>
        </is>
      </c>
      <c r="D882" s="8" t="inlineStr">
        <is>
          <t>A</t>
        </is>
      </c>
      <c r="E882" s="8" t="inlineStr">
        <is>
          <t>Não</t>
        </is>
      </c>
      <c r="F882" s="8" t="n">
        <v>29</v>
      </c>
      <c r="G882" s="8" t="n">
        <v>2</v>
      </c>
      <c r="H882" s="9">
        <f>IF(F882=0,"",G882/F882)</f>
        <v/>
      </c>
    </row>
    <row r="883">
      <c r="A883" s="10" t="inlineStr">
        <is>
          <t>Simulado 02</t>
        </is>
      </c>
      <c r="B883" s="11" t="n">
        <v>7</v>
      </c>
      <c r="C883" s="11" t="inlineStr">
        <is>
          <t>11ª Fase</t>
        </is>
      </c>
      <c r="D883" s="11" t="inlineStr">
        <is>
          <t>B</t>
        </is>
      </c>
      <c r="E883" s="11" t="inlineStr">
        <is>
          <t>Não</t>
        </is>
      </c>
      <c r="F883" s="11" t="n">
        <v>29</v>
      </c>
      <c r="G883" s="11" t="n">
        <v>4</v>
      </c>
      <c r="H883" s="12">
        <f>IF(F883=0,"",G883/F883)</f>
        <v/>
      </c>
    </row>
    <row r="884">
      <c r="A884" s="7" t="inlineStr">
        <is>
          <t>Simulado 02</t>
        </is>
      </c>
      <c r="B884" s="8" t="n">
        <v>7</v>
      </c>
      <c r="C884" s="8" t="inlineStr">
        <is>
          <t>11ª Fase</t>
        </is>
      </c>
      <c r="D884" s="8" t="inlineStr">
        <is>
          <t>C</t>
        </is>
      </c>
      <c r="E884" s="8" t="inlineStr">
        <is>
          <t>Sim</t>
        </is>
      </c>
      <c r="F884" s="8" t="n">
        <v>29</v>
      </c>
      <c r="G884" s="8" t="n">
        <v>23</v>
      </c>
      <c r="H884" s="9">
        <f>IF(F884=0,"",G884/F884)</f>
        <v/>
      </c>
    </row>
    <row r="885">
      <c r="A885" s="10" t="inlineStr">
        <is>
          <t>Simulado 02</t>
        </is>
      </c>
      <c r="B885" s="11" t="n">
        <v>7</v>
      </c>
      <c r="C885" s="11" t="inlineStr">
        <is>
          <t>11ª Fase</t>
        </is>
      </c>
      <c r="D885" s="11" t="inlineStr">
        <is>
          <t>D</t>
        </is>
      </c>
      <c r="E885" s="11" t="inlineStr">
        <is>
          <t>Não</t>
        </is>
      </c>
      <c r="F885" s="11" t="n">
        <v>29</v>
      </c>
      <c r="G885" s="11" t="n">
        <v>0</v>
      </c>
      <c r="H885" s="12">
        <f>IF(F885=0,"",G885/F885)</f>
        <v/>
      </c>
    </row>
    <row r="886">
      <c r="A886" s="7" t="inlineStr">
        <is>
          <t>Simulado 02</t>
        </is>
      </c>
      <c r="B886" s="8" t="n">
        <v>8</v>
      </c>
      <c r="C886" s="8" t="inlineStr">
        <is>
          <t>6ª Fase</t>
        </is>
      </c>
      <c r="D886" s="8" t="inlineStr">
        <is>
          <t>A</t>
        </is>
      </c>
      <c r="E886" s="8" t="inlineStr">
        <is>
          <t>Não</t>
        </is>
      </c>
      <c r="F886" s="8" t="n">
        <v>28</v>
      </c>
      <c r="G886" s="8" t="n">
        <v>3</v>
      </c>
      <c r="H886" s="9">
        <f>IF(F886=0,"",G886/F886)</f>
        <v/>
      </c>
    </row>
    <row r="887">
      <c r="A887" s="10" t="inlineStr">
        <is>
          <t>Simulado 02</t>
        </is>
      </c>
      <c r="B887" s="11" t="n">
        <v>8</v>
      </c>
      <c r="C887" s="11" t="inlineStr">
        <is>
          <t>6ª Fase</t>
        </is>
      </c>
      <c r="D887" s="11" t="inlineStr">
        <is>
          <t>B</t>
        </is>
      </c>
      <c r="E887" s="11" t="inlineStr">
        <is>
          <t>Sim</t>
        </is>
      </c>
      <c r="F887" s="11" t="n">
        <v>28</v>
      </c>
      <c r="G887" s="11" t="n">
        <v>21</v>
      </c>
      <c r="H887" s="12">
        <f>IF(F887=0,"",G887/F887)</f>
        <v/>
      </c>
    </row>
    <row r="888">
      <c r="A888" s="7" t="inlineStr">
        <is>
          <t>Simulado 02</t>
        </is>
      </c>
      <c r="B888" s="8" t="n">
        <v>8</v>
      </c>
      <c r="C888" s="8" t="inlineStr">
        <is>
          <t>6ª Fase</t>
        </is>
      </c>
      <c r="D888" s="8" t="inlineStr">
        <is>
          <t>C</t>
        </is>
      </c>
      <c r="E888" s="8" t="inlineStr">
        <is>
          <t>Não</t>
        </is>
      </c>
      <c r="F888" s="8" t="n">
        <v>28</v>
      </c>
      <c r="G888" s="8" t="n">
        <v>2</v>
      </c>
      <c r="H888" s="9">
        <f>IF(F888=0,"",G888/F888)</f>
        <v/>
      </c>
    </row>
    <row r="889">
      <c r="A889" s="10" t="inlineStr">
        <is>
          <t>Simulado 02</t>
        </is>
      </c>
      <c r="B889" s="11" t="n">
        <v>8</v>
      </c>
      <c r="C889" s="11" t="inlineStr">
        <is>
          <t>6ª Fase</t>
        </is>
      </c>
      <c r="D889" s="11" t="inlineStr">
        <is>
          <t>D</t>
        </is>
      </c>
      <c r="E889" s="11" t="inlineStr">
        <is>
          <t>Não</t>
        </is>
      </c>
      <c r="F889" s="11" t="n">
        <v>28</v>
      </c>
      <c r="G889" s="11" t="n">
        <v>2</v>
      </c>
      <c r="H889" s="12">
        <f>IF(F889=0,"",G889/F889)</f>
        <v/>
      </c>
    </row>
    <row r="890">
      <c r="A890" s="7" t="inlineStr">
        <is>
          <t>Simulado 02</t>
        </is>
      </c>
      <c r="B890" s="8" t="n">
        <v>8</v>
      </c>
      <c r="C890" s="8" t="inlineStr">
        <is>
          <t>7ª Fase</t>
        </is>
      </c>
      <c r="D890" s="8" t="inlineStr">
        <is>
          <t>A</t>
        </is>
      </c>
      <c r="E890" s="8" t="inlineStr">
        <is>
          <t>Não</t>
        </is>
      </c>
      <c r="F890" s="8" t="n">
        <v>32</v>
      </c>
      <c r="G890" s="8" t="n">
        <v>2</v>
      </c>
      <c r="H890" s="9">
        <f>IF(F890=0,"",G890/F890)</f>
        <v/>
      </c>
    </row>
    <row r="891">
      <c r="A891" s="10" t="inlineStr">
        <is>
          <t>Simulado 02</t>
        </is>
      </c>
      <c r="B891" s="11" t="n">
        <v>8</v>
      </c>
      <c r="C891" s="11" t="inlineStr">
        <is>
          <t>7ª Fase</t>
        </is>
      </c>
      <c r="D891" s="11" t="inlineStr">
        <is>
          <t>B</t>
        </is>
      </c>
      <c r="E891" s="11" t="inlineStr">
        <is>
          <t>Sim</t>
        </is>
      </c>
      <c r="F891" s="11" t="n">
        <v>32</v>
      </c>
      <c r="G891" s="11" t="n">
        <v>22</v>
      </c>
      <c r="H891" s="12">
        <f>IF(F891=0,"",G891/F891)</f>
        <v/>
      </c>
    </row>
    <row r="892">
      <c r="A892" s="7" t="inlineStr">
        <is>
          <t>Simulado 02</t>
        </is>
      </c>
      <c r="B892" s="8" t="n">
        <v>8</v>
      </c>
      <c r="C892" s="8" t="inlineStr">
        <is>
          <t>7ª Fase</t>
        </is>
      </c>
      <c r="D892" s="8" t="inlineStr">
        <is>
          <t>C</t>
        </is>
      </c>
      <c r="E892" s="8" t="inlineStr">
        <is>
          <t>Não</t>
        </is>
      </c>
      <c r="F892" s="8" t="n">
        <v>32</v>
      </c>
      <c r="G892" s="8" t="n">
        <v>6</v>
      </c>
      <c r="H892" s="9">
        <f>IF(F892=0,"",G892/F892)</f>
        <v/>
      </c>
    </row>
    <row r="893">
      <c r="A893" s="10" t="inlineStr">
        <is>
          <t>Simulado 02</t>
        </is>
      </c>
      <c r="B893" s="11" t="n">
        <v>8</v>
      </c>
      <c r="C893" s="11" t="inlineStr">
        <is>
          <t>7ª Fase</t>
        </is>
      </c>
      <c r="D893" s="11" t="inlineStr">
        <is>
          <t>D</t>
        </is>
      </c>
      <c r="E893" s="11" t="inlineStr">
        <is>
          <t>Não</t>
        </is>
      </c>
      <c r="F893" s="11" t="n">
        <v>32</v>
      </c>
      <c r="G893" s="11" t="n">
        <v>2</v>
      </c>
      <c r="H893" s="12">
        <f>IF(F893=0,"",G893/F893)</f>
        <v/>
      </c>
    </row>
    <row r="894">
      <c r="A894" s="7" t="inlineStr">
        <is>
          <t>Simulado 02</t>
        </is>
      </c>
      <c r="B894" s="8" t="n">
        <v>8</v>
      </c>
      <c r="C894" s="8" t="inlineStr">
        <is>
          <t>10ª Fase</t>
        </is>
      </c>
      <c r="D894" s="8" t="inlineStr">
        <is>
          <t>A</t>
        </is>
      </c>
      <c r="E894" s="8" t="inlineStr">
        <is>
          <t>Não</t>
        </is>
      </c>
      <c r="F894" s="8" t="n">
        <v>31</v>
      </c>
      <c r="G894" s="8" t="n">
        <v>1</v>
      </c>
      <c r="H894" s="9">
        <f>IF(F894=0,"",G894/F894)</f>
        <v/>
      </c>
    </row>
    <row r="895">
      <c r="A895" s="10" t="inlineStr">
        <is>
          <t>Simulado 02</t>
        </is>
      </c>
      <c r="B895" s="11" t="n">
        <v>8</v>
      </c>
      <c r="C895" s="11" t="inlineStr">
        <is>
          <t>10ª Fase</t>
        </is>
      </c>
      <c r="D895" s="11" t="inlineStr">
        <is>
          <t>B</t>
        </is>
      </c>
      <c r="E895" s="11" t="inlineStr">
        <is>
          <t>Sim</t>
        </is>
      </c>
      <c r="F895" s="11" t="n">
        <v>31</v>
      </c>
      <c r="G895" s="11" t="n">
        <v>25</v>
      </c>
      <c r="H895" s="12">
        <f>IF(F895=0,"",G895/F895)</f>
        <v/>
      </c>
    </row>
    <row r="896">
      <c r="A896" s="7" t="inlineStr">
        <is>
          <t>Simulado 02</t>
        </is>
      </c>
      <c r="B896" s="8" t="n">
        <v>8</v>
      </c>
      <c r="C896" s="8" t="inlineStr">
        <is>
          <t>10ª Fase</t>
        </is>
      </c>
      <c r="D896" s="8" t="inlineStr">
        <is>
          <t>C</t>
        </is>
      </c>
      <c r="E896" s="8" t="inlineStr">
        <is>
          <t>Não</t>
        </is>
      </c>
      <c r="F896" s="8" t="n">
        <v>31</v>
      </c>
      <c r="G896" s="8" t="n">
        <v>3</v>
      </c>
      <c r="H896" s="9">
        <f>IF(F896=0,"",G896/F896)</f>
        <v/>
      </c>
    </row>
    <row r="897">
      <c r="A897" s="10" t="inlineStr">
        <is>
          <t>Simulado 02</t>
        </is>
      </c>
      <c r="B897" s="11" t="n">
        <v>8</v>
      </c>
      <c r="C897" s="11" t="inlineStr">
        <is>
          <t>10ª Fase</t>
        </is>
      </c>
      <c r="D897" s="11" t="inlineStr">
        <is>
          <t>D</t>
        </is>
      </c>
      <c r="E897" s="11" t="inlineStr">
        <is>
          <t>Não</t>
        </is>
      </c>
      <c r="F897" s="11" t="n">
        <v>31</v>
      </c>
      <c r="G897" s="11" t="n">
        <v>2</v>
      </c>
      <c r="H897" s="12">
        <f>IF(F897=0,"",G897/F897)</f>
        <v/>
      </c>
    </row>
    <row r="898">
      <c r="A898" s="7" t="inlineStr">
        <is>
          <t>Simulado 02</t>
        </is>
      </c>
      <c r="B898" s="8" t="n">
        <v>8</v>
      </c>
      <c r="C898" s="8" t="inlineStr">
        <is>
          <t>11ª Fase</t>
        </is>
      </c>
      <c r="D898" s="8" t="inlineStr">
        <is>
          <t>A</t>
        </is>
      </c>
      <c r="E898" s="8" t="inlineStr">
        <is>
          <t>Não</t>
        </is>
      </c>
      <c r="F898" s="8" t="n">
        <v>29</v>
      </c>
      <c r="G898" s="8" t="n">
        <v>1</v>
      </c>
      <c r="H898" s="9">
        <f>IF(F898=0,"",G898/F898)</f>
        <v/>
      </c>
    </row>
    <row r="899">
      <c r="A899" s="10" t="inlineStr">
        <is>
          <t>Simulado 02</t>
        </is>
      </c>
      <c r="B899" s="11" t="n">
        <v>8</v>
      </c>
      <c r="C899" s="11" t="inlineStr">
        <is>
          <t>11ª Fase</t>
        </is>
      </c>
      <c r="D899" s="11" t="inlineStr">
        <is>
          <t>B</t>
        </is>
      </c>
      <c r="E899" s="11" t="inlineStr">
        <is>
          <t>Sim</t>
        </is>
      </c>
      <c r="F899" s="11" t="n">
        <v>29</v>
      </c>
      <c r="G899" s="11" t="n">
        <v>24</v>
      </c>
      <c r="H899" s="12">
        <f>IF(F899=0,"",G899/F899)</f>
        <v/>
      </c>
    </row>
    <row r="900">
      <c r="A900" s="7" t="inlineStr">
        <is>
          <t>Simulado 02</t>
        </is>
      </c>
      <c r="B900" s="8" t="n">
        <v>8</v>
      </c>
      <c r="C900" s="8" t="inlineStr">
        <is>
          <t>11ª Fase</t>
        </is>
      </c>
      <c r="D900" s="8" t="inlineStr">
        <is>
          <t>C</t>
        </is>
      </c>
      <c r="E900" s="8" t="inlineStr">
        <is>
          <t>Não</t>
        </is>
      </c>
      <c r="F900" s="8" t="n">
        <v>29</v>
      </c>
      <c r="G900" s="8" t="n">
        <v>3</v>
      </c>
      <c r="H900" s="9">
        <f>IF(F900=0,"",G900/F900)</f>
        <v/>
      </c>
    </row>
    <row r="901">
      <c r="A901" s="10" t="inlineStr">
        <is>
          <t>Simulado 02</t>
        </is>
      </c>
      <c r="B901" s="11" t="n">
        <v>8</v>
      </c>
      <c r="C901" s="11" t="inlineStr">
        <is>
          <t>11ª Fase</t>
        </is>
      </c>
      <c r="D901" s="11" t="inlineStr">
        <is>
          <t>D</t>
        </is>
      </c>
      <c r="E901" s="11" t="inlineStr">
        <is>
          <t>Não</t>
        </is>
      </c>
      <c r="F901" s="11" t="n">
        <v>29</v>
      </c>
      <c r="G901" s="11" t="n">
        <v>1</v>
      </c>
      <c r="H901" s="12">
        <f>IF(F901=0,"",G901/F901)</f>
        <v/>
      </c>
    </row>
    <row r="902">
      <c r="A902" s="7" t="inlineStr">
        <is>
          <t>Simulado 02</t>
        </is>
      </c>
      <c r="B902" s="8" t="n">
        <v>9</v>
      </c>
      <c r="C902" s="8" t="inlineStr">
        <is>
          <t>6ª Fase</t>
        </is>
      </c>
      <c r="D902" s="8" t="inlineStr">
        <is>
          <t>A</t>
        </is>
      </c>
      <c r="E902" s="8" t="inlineStr">
        <is>
          <t>Não</t>
        </is>
      </c>
      <c r="F902" s="8" t="n">
        <v>28</v>
      </c>
      <c r="G902" s="8" t="n">
        <v>0</v>
      </c>
      <c r="H902" s="9">
        <f>IF(F902=0,"",G902/F902)</f>
        <v/>
      </c>
    </row>
    <row r="903">
      <c r="A903" s="10" t="inlineStr">
        <is>
          <t>Simulado 02</t>
        </is>
      </c>
      <c r="B903" s="11" t="n">
        <v>9</v>
      </c>
      <c r="C903" s="11" t="inlineStr">
        <is>
          <t>6ª Fase</t>
        </is>
      </c>
      <c r="D903" s="11" t="inlineStr">
        <is>
          <t>B</t>
        </is>
      </c>
      <c r="E903" s="11" t="inlineStr">
        <is>
          <t>Não</t>
        </is>
      </c>
      <c r="F903" s="11" t="n">
        <v>28</v>
      </c>
      <c r="G903" s="11" t="n">
        <v>7</v>
      </c>
      <c r="H903" s="12">
        <f>IF(F903=0,"",G903/F903)</f>
        <v/>
      </c>
    </row>
    <row r="904">
      <c r="A904" s="7" t="inlineStr">
        <is>
          <t>Simulado 02</t>
        </is>
      </c>
      <c r="B904" s="8" t="n">
        <v>9</v>
      </c>
      <c r="C904" s="8" t="inlineStr">
        <is>
          <t>6ª Fase</t>
        </is>
      </c>
      <c r="D904" s="8" t="inlineStr">
        <is>
          <t>C</t>
        </is>
      </c>
      <c r="E904" s="8" t="inlineStr">
        <is>
          <t>Não</t>
        </is>
      </c>
      <c r="F904" s="8" t="n">
        <v>28</v>
      </c>
      <c r="G904" s="8" t="n">
        <v>0</v>
      </c>
      <c r="H904" s="9">
        <f>IF(F904=0,"",G904/F904)</f>
        <v/>
      </c>
    </row>
    <row r="905">
      <c r="A905" s="10" t="inlineStr">
        <is>
          <t>Simulado 02</t>
        </is>
      </c>
      <c r="B905" s="11" t="n">
        <v>9</v>
      </c>
      <c r="C905" s="11" t="inlineStr">
        <is>
          <t>6ª Fase</t>
        </is>
      </c>
      <c r="D905" s="11" t="inlineStr">
        <is>
          <t>D</t>
        </is>
      </c>
      <c r="E905" s="11" t="inlineStr">
        <is>
          <t>Sim</t>
        </is>
      </c>
      <c r="F905" s="11" t="n">
        <v>28</v>
      </c>
      <c r="G905" s="11" t="n">
        <v>21</v>
      </c>
      <c r="H905" s="12">
        <f>IF(F905=0,"",G905/F905)</f>
        <v/>
      </c>
    </row>
    <row r="906">
      <c r="A906" s="7" t="inlineStr">
        <is>
          <t>Simulado 02</t>
        </is>
      </c>
      <c r="B906" s="8" t="n">
        <v>9</v>
      </c>
      <c r="C906" s="8" t="inlineStr">
        <is>
          <t>7ª Fase</t>
        </is>
      </c>
      <c r="D906" s="8" t="inlineStr">
        <is>
          <t>A</t>
        </is>
      </c>
      <c r="E906" s="8" t="inlineStr">
        <is>
          <t>Não</t>
        </is>
      </c>
      <c r="F906" s="8" t="n">
        <v>32</v>
      </c>
      <c r="G906" s="8" t="n">
        <v>3</v>
      </c>
      <c r="H906" s="9">
        <f>IF(F906=0,"",G906/F906)</f>
        <v/>
      </c>
    </row>
    <row r="907">
      <c r="A907" s="10" t="inlineStr">
        <is>
          <t>Simulado 02</t>
        </is>
      </c>
      <c r="B907" s="11" t="n">
        <v>9</v>
      </c>
      <c r="C907" s="11" t="inlineStr">
        <is>
          <t>7ª Fase</t>
        </is>
      </c>
      <c r="D907" s="11" t="inlineStr">
        <is>
          <t>B</t>
        </is>
      </c>
      <c r="E907" s="11" t="inlineStr">
        <is>
          <t>Não</t>
        </is>
      </c>
      <c r="F907" s="11" t="n">
        <v>32</v>
      </c>
      <c r="G907" s="11" t="n">
        <v>2</v>
      </c>
      <c r="H907" s="12">
        <f>IF(F907=0,"",G907/F907)</f>
        <v/>
      </c>
    </row>
    <row r="908">
      <c r="A908" s="7" t="inlineStr">
        <is>
          <t>Simulado 02</t>
        </is>
      </c>
      <c r="B908" s="8" t="n">
        <v>9</v>
      </c>
      <c r="C908" s="8" t="inlineStr">
        <is>
          <t>7ª Fase</t>
        </is>
      </c>
      <c r="D908" s="8" t="inlineStr">
        <is>
          <t>C</t>
        </is>
      </c>
      <c r="E908" s="8" t="inlineStr">
        <is>
          <t>Não</t>
        </is>
      </c>
      <c r="F908" s="8" t="n">
        <v>32</v>
      </c>
      <c r="G908" s="8" t="n">
        <v>0</v>
      </c>
      <c r="H908" s="9">
        <f>IF(F908=0,"",G908/F908)</f>
        <v/>
      </c>
    </row>
    <row r="909">
      <c r="A909" s="10" t="inlineStr">
        <is>
          <t>Simulado 02</t>
        </is>
      </c>
      <c r="B909" s="11" t="n">
        <v>9</v>
      </c>
      <c r="C909" s="11" t="inlineStr">
        <is>
          <t>7ª Fase</t>
        </is>
      </c>
      <c r="D909" s="11" t="inlineStr">
        <is>
          <t>D</t>
        </is>
      </c>
      <c r="E909" s="11" t="inlineStr">
        <is>
          <t>Sim</t>
        </is>
      </c>
      <c r="F909" s="11" t="n">
        <v>32</v>
      </c>
      <c r="G909" s="11" t="n">
        <v>27</v>
      </c>
      <c r="H909" s="12">
        <f>IF(F909=0,"",G909/F909)</f>
        <v/>
      </c>
    </row>
    <row r="910">
      <c r="A910" s="7" t="inlineStr">
        <is>
          <t>Simulado 02</t>
        </is>
      </c>
      <c r="B910" s="8" t="n">
        <v>9</v>
      </c>
      <c r="C910" s="8" t="inlineStr">
        <is>
          <t>10ª Fase</t>
        </is>
      </c>
      <c r="D910" s="8" t="inlineStr">
        <is>
          <t>A</t>
        </is>
      </c>
      <c r="E910" s="8" t="inlineStr">
        <is>
          <t>Não</t>
        </is>
      </c>
      <c r="F910" s="8" t="n">
        <v>31</v>
      </c>
      <c r="G910" s="8" t="n">
        <v>4</v>
      </c>
      <c r="H910" s="9">
        <f>IF(F910=0,"",G910/F910)</f>
        <v/>
      </c>
    </row>
    <row r="911">
      <c r="A911" s="10" t="inlineStr">
        <is>
          <t>Simulado 02</t>
        </is>
      </c>
      <c r="B911" s="11" t="n">
        <v>9</v>
      </c>
      <c r="C911" s="11" t="inlineStr">
        <is>
          <t>10ª Fase</t>
        </is>
      </c>
      <c r="D911" s="11" t="inlineStr">
        <is>
          <t>B</t>
        </is>
      </c>
      <c r="E911" s="11" t="inlineStr">
        <is>
          <t>Não</t>
        </is>
      </c>
      <c r="F911" s="11" t="n">
        <v>31</v>
      </c>
      <c r="G911" s="11" t="n">
        <v>4</v>
      </c>
      <c r="H911" s="12">
        <f>IF(F911=0,"",G911/F911)</f>
        <v/>
      </c>
    </row>
    <row r="912">
      <c r="A912" s="7" t="inlineStr">
        <is>
          <t>Simulado 02</t>
        </is>
      </c>
      <c r="B912" s="8" t="n">
        <v>9</v>
      </c>
      <c r="C912" s="8" t="inlineStr">
        <is>
          <t>10ª Fase</t>
        </is>
      </c>
      <c r="D912" s="8" t="inlineStr">
        <is>
          <t>C</t>
        </is>
      </c>
      <c r="E912" s="8" t="inlineStr">
        <is>
          <t>Não</t>
        </is>
      </c>
      <c r="F912" s="8" t="n">
        <v>31</v>
      </c>
      <c r="G912" s="8" t="n">
        <v>0</v>
      </c>
      <c r="H912" s="9">
        <f>IF(F912=0,"",G912/F912)</f>
        <v/>
      </c>
    </row>
    <row r="913">
      <c r="A913" s="10" t="inlineStr">
        <is>
          <t>Simulado 02</t>
        </is>
      </c>
      <c r="B913" s="11" t="n">
        <v>9</v>
      </c>
      <c r="C913" s="11" t="inlineStr">
        <is>
          <t>10ª Fase</t>
        </is>
      </c>
      <c r="D913" s="11" t="inlineStr">
        <is>
          <t>D</t>
        </is>
      </c>
      <c r="E913" s="11" t="inlineStr">
        <is>
          <t>Sim</t>
        </is>
      </c>
      <c r="F913" s="11" t="n">
        <v>31</v>
      </c>
      <c r="G913" s="11" t="n">
        <v>23</v>
      </c>
      <c r="H913" s="12">
        <f>IF(F913=0,"",G913/F913)</f>
        <v/>
      </c>
    </row>
    <row r="914">
      <c r="A914" s="7" t="inlineStr">
        <is>
          <t>Simulado 02</t>
        </is>
      </c>
      <c r="B914" s="8" t="n">
        <v>9</v>
      </c>
      <c r="C914" s="8" t="inlineStr">
        <is>
          <t>11ª Fase</t>
        </is>
      </c>
      <c r="D914" s="8" t="inlineStr">
        <is>
          <t>A</t>
        </is>
      </c>
      <c r="E914" s="8" t="inlineStr">
        <is>
          <t>Não</t>
        </is>
      </c>
      <c r="F914" s="8" t="n">
        <v>29</v>
      </c>
      <c r="G914" s="8" t="n">
        <v>4</v>
      </c>
      <c r="H914" s="9">
        <f>IF(F914=0,"",G914/F914)</f>
        <v/>
      </c>
    </row>
    <row r="915">
      <c r="A915" s="10" t="inlineStr">
        <is>
          <t>Simulado 02</t>
        </is>
      </c>
      <c r="B915" s="11" t="n">
        <v>9</v>
      </c>
      <c r="C915" s="11" t="inlineStr">
        <is>
          <t>11ª Fase</t>
        </is>
      </c>
      <c r="D915" s="11" t="inlineStr">
        <is>
          <t>B</t>
        </is>
      </c>
      <c r="E915" s="11" t="inlineStr">
        <is>
          <t>Não</t>
        </is>
      </c>
      <c r="F915" s="11" t="n">
        <v>29</v>
      </c>
      <c r="G915" s="11" t="n">
        <v>2</v>
      </c>
      <c r="H915" s="12">
        <f>IF(F915=0,"",G915/F915)</f>
        <v/>
      </c>
    </row>
    <row r="916">
      <c r="A916" s="7" t="inlineStr">
        <is>
          <t>Simulado 02</t>
        </is>
      </c>
      <c r="B916" s="8" t="n">
        <v>9</v>
      </c>
      <c r="C916" s="8" t="inlineStr">
        <is>
          <t>11ª Fase</t>
        </is>
      </c>
      <c r="D916" s="8" t="inlineStr">
        <is>
          <t>C</t>
        </is>
      </c>
      <c r="E916" s="8" t="inlineStr">
        <is>
          <t>Não</t>
        </is>
      </c>
      <c r="F916" s="8" t="n">
        <v>29</v>
      </c>
      <c r="G916" s="8" t="n">
        <v>0</v>
      </c>
      <c r="H916" s="9">
        <f>IF(F916=0,"",G916/F916)</f>
        <v/>
      </c>
    </row>
    <row r="917">
      <c r="A917" s="10" t="inlineStr">
        <is>
          <t>Simulado 02</t>
        </is>
      </c>
      <c r="B917" s="11" t="n">
        <v>9</v>
      </c>
      <c r="C917" s="11" t="inlineStr">
        <is>
          <t>11ª Fase</t>
        </is>
      </c>
      <c r="D917" s="11" t="inlineStr">
        <is>
          <t>D</t>
        </is>
      </c>
      <c r="E917" s="11" t="inlineStr">
        <is>
          <t>Sim</t>
        </is>
      </c>
      <c r="F917" s="11" t="n">
        <v>29</v>
      </c>
      <c r="G917" s="11" t="n">
        <v>23</v>
      </c>
      <c r="H917" s="12">
        <f>IF(F917=0,"",G917/F917)</f>
        <v/>
      </c>
    </row>
    <row r="918">
      <c r="A918" s="7" t="inlineStr">
        <is>
          <t>Simulado 02</t>
        </is>
      </c>
      <c r="B918" s="8" t="n">
        <v>10</v>
      </c>
      <c r="C918" s="8" t="inlineStr">
        <is>
          <t>6ª Fase</t>
        </is>
      </c>
      <c r="D918" s="8" t="inlineStr">
        <is>
          <t>A</t>
        </is>
      </c>
      <c r="E918" s="8" t="inlineStr">
        <is>
          <t>Sim</t>
        </is>
      </c>
      <c r="F918" s="8" t="n">
        <v>28</v>
      </c>
      <c r="G918" s="8" t="n">
        <v>10</v>
      </c>
      <c r="H918" s="9">
        <f>IF(F918=0,"",G918/F918)</f>
        <v/>
      </c>
    </row>
    <row r="919">
      <c r="A919" s="10" t="inlineStr">
        <is>
          <t>Simulado 02</t>
        </is>
      </c>
      <c r="B919" s="11" t="n">
        <v>10</v>
      </c>
      <c r="C919" s="11" t="inlineStr">
        <is>
          <t>6ª Fase</t>
        </is>
      </c>
      <c r="D919" s="11" t="inlineStr">
        <is>
          <t>B</t>
        </is>
      </c>
      <c r="E919" s="11" t="inlineStr">
        <is>
          <t>Não</t>
        </is>
      </c>
      <c r="F919" s="11" t="n">
        <v>28</v>
      </c>
      <c r="G919" s="11" t="n">
        <v>2</v>
      </c>
      <c r="H919" s="12">
        <f>IF(F919=0,"",G919/F919)</f>
        <v/>
      </c>
    </row>
    <row r="920">
      <c r="A920" s="7" t="inlineStr">
        <is>
          <t>Simulado 02</t>
        </is>
      </c>
      <c r="B920" s="8" t="n">
        <v>10</v>
      </c>
      <c r="C920" s="8" t="inlineStr">
        <is>
          <t>6ª Fase</t>
        </is>
      </c>
      <c r="D920" s="8" t="inlineStr">
        <is>
          <t>C</t>
        </is>
      </c>
      <c r="E920" s="8" t="inlineStr">
        <is>
          <t>Não</t>
        </is>
      </c>
      <c r="F920" s="8" t="n">
        <v>28</v>
      </c>
      <c r="G920" s="8" t="n">
        <v>13</v>
      </c>
      <c r="H920" s="9">
        <f>IF(F920=0,"",G920/F920)</f>
        <v/>
      </c>
    </row>
    <row r="921">
      <c r="A921" s="10" t="inlineStr">
        <is>
          <t>Simulado 02</t>
        </is>
      </c>
      <c r="B921" s="11" t="n">
        <v>10</v>
      </c>
      <c r="C921" s="11" t="inlineStr">
        <is>
          <t>6ª Fase</t>
        </is>
      </c>
      <c r="D921" s="11" t="inlineStr">
        <is>
          <t>D</t>
        </is>
      </c>
      <c r="E921" s="11" t="inlineStr">
        <is>
          <t>Não</t>
        </is>
      </c>
      <c r="F921" s="11" t="n">
        <v>28</v>
      </c>
      <c r="G921" s="11" t="n">
        <v>3</v>
      </c>
      <c r="H921" s="12">
        <f>IF(F921=0,"",G921/F921)</f>
        <v/>
      </c>
    </row>
    <row r="922">
      <c r="A922" s="7" t="inlineStr">
        <is>
          <t>Simulado 02</t>
        </is>
      </c>
      <c r="B922" s="8" t="n">
        <v>10</v>
      </c>
      <c r="C922" s="8" t="inlineStr">
        <is>
          <t>7ª Fase</t>
        </is>
      </c>
      <c r="D922" s="8" t="inlineStr">
        <is>
          <t>A</t>
        </is>
      </c>
      <c r="E922" s="8" t="inlineStr">
        <is>
          <t>Sim</t>
        </is>
      </c>
      <c r="F922" s="8" t="n">
        <v>32</v>
      </c>
      <c r="G922" s="8" t="n">
        <v>6</v>
      </c>
      <c r="H922" s="9">
        <f>IF(F922=0,"",G922/F922)</f>
        <v/>
      </c>
    </row>
    <row r="923">
      <c r="A923" s="10" t="inlineStr">
        <is>
          <t>Simulado 02</t>
        </is>
      </c>
      <c r="B923" s="11" t="n">
        <v>10</v>
      </c>
      <c r="C923" s="11" t="inlineStr">
        <is>
          <t>7ª Fase</t>
        </is>
      </c>
      <c r="D923" s="11" t="inlineStr">
        <is>
          <t>B</t>
        </is>
      </c>
      <c r="E923" s="11" t="inlineStr">
        <is>
          <t>Não</t>
        </is>
      </c>
      <c r="F923" s="11" t="n">
        <v>32</v>
      </c>
      <c r="G923" s="11" t="n">
        <v>2</v>
      </c>
      <c r="H923" s="12">
        <f>IF(F923=0,"",G923/F923)</f>
        <v/>
      </c>
    </row>
    <row r="924">
      <c r="A924" s="7" t="inlineStr">
        <is>
          <t>Simulado 02</t>
        </is>
      </c>
      <c r="B924" s="8" t="n">
        <v>10</v>
      </c>
      <c r="C924" s="8" t="inlineStr">
        <is>
          <t>7ª Fase</t>
        </is>
      </c>
      <c r="D924" s="8" t="inlineStr">
        <is>
          <t>C</t>
        </is>
      </c>
      <c r="E924" s="8" t="inlineStr">
        <is>
          <t>Não</t>
        </is>
      </c>
      <c r="F924" s="8" t="n">
        <v>32</v>
      </c>
      <c r="G924" s="8" t="n">
        <v>16</v>
      </c>
      <c r="H924" s="9">
        <f>IF(F924=0,"",G924/F924)</f>
        <v/>
      </c>
    </row>
    <row r="925">
      <c r="A925" s="10" t="inlineStr">
        <is>
          <t>Simulado 02</t>
        </is>
      </c>
      <c r="B925" s="11" t="n">
        <v>10</v>
      </c>
      <c r="C925" s="11" t="inlineStr">
        <is>
          <t>7ª Fase</t>
        </is>
      </c>
      <c r="D925" s="11" t="inlineStr">
        <is>
          <t>D</t>
        </is>
      </c>
      <c r="E925" s="11" t="inlineStr">
        <is>
          <t>Não</t>
        </is>
      </c>
      <c r="F925" s="11" t="n">
        <v>32</v>
      </c>
      <c r="G925" s="11" t="n">
        <v>8</v>
      </c>
      <c r="H925" s="12">
        <f>IF(F925=0,"",G925/F925)</f>
        <v/>
      </c>
    </row>
    <row r="926">
      <c r="A926" s="7" t="inlineStr">
        <is>
          <t>Simulado 02</t>
        </is>
      </c>
      <c r="B926" s="8" t="n">
        <v>10</v>
      </c>
      <c r="C926" s="8" t="inlineStr">
        <is>
          <t>10ª Fase</t>
        </is>
      </c>
      <c r="D926" s="8" t="inlineStr">
        <is>
          <t>A</t>
        </is>
      </c>
      <c r="E926" s="8" t="inlineStr">
        <is>
          <t>Sim</t>
        </is>
      </c>
      <c r="F926" s="8" t="n">
        <v>31</v>
      </c>
      <c r="G926" s="8" t="n">
        <v>9</v>
      </c>
      <c r="H926" s="9">
        <f>IF(F926=0,"",G926/F926)</f>
        <v/>
      </c>
    </row>
    <row r="927">
      <c r="A927" s="10" t="inlineStr">
        <is>
          <t>Simulado 02</t>
        </is>
      </c>
      <c r="B927" s="11" t="n">
        <v>10</v>
      </c>
      <c r="C927" s="11" t="inlineStr">
        <is>
          <t>10ª Fase</t>
        </is>
      </c>
      <c r="D927" s="11" t="inlineStr">
        <is>
          <t>B</t>
        </is>
      </c>
      <c r="E927" s="11" t="inlineStr">
        <is>
          <t>Não</t>
        </is>
      </c>
      <c r="F927" s="11" t="n">
        <v>31</v>
      </c>
      <c r="G927" s="11" t="n">
        <v>5</v>
      </c>
      <c r="H927" s="12">
        <f>IF(F927=0,"",G927/F927)</f>
        <v/>
      </c>
    </row>
    <row r="928">
      <c r="A928" s="7" t="inlineStr">
        <is>
          <t>Simulado 02</t>
        </is>
      </c>
      <c r="B928" s="8" t="n">
        <v>10</v>
      </c>
      <c r="C928" s="8" t="inlineStr">
        <is>
          <t>10ª Fase</t>
        </is>
      </c>
      <c r="D928" s="8" t="inlineStr">
        <is>
          <t>C</t>
        </is>
      </c>
      <c r="E928" s="8" t="inlineStr">
        <is>
          <t>Não</t>
        </is>
      </c>
      <c r="F928" s="8" t="n">
        <v>31</v>
      </c>
      <c r="G928" s="8" t="n">
        <v>14</v>
      </c>
      <c r="H928" s="9">
        <f>IF(F928=0,"",G928/F928)</f>
        <v/>
      </c>
    </row>
    <row r="929">
      <c r="A929" s="10" t="inlineStr">
        <is>
          <t>Simulado 02</t>
        </is>
      </c>
      <c r="B929" s="11" t="n">
        <v>10</v>
      </c>
      <c r="C929" s="11" t="inlineStr">
        <is>
          <t>10ª Fase</t>
        </is>
      </c>
      <c r="D929" s="11" t="inlineStr">
        <is>
          <t>D</t>
        </is>
      </c>
      <c r="E929" s="11" t="inlineStr">
        <is>
          <t>Não</t>
        </is>
      </c>
      <c r="F929" s="11" t="n">
        <v>31</v>
      </c>
      <c r="G929" s="11" t="n">
        <v>3</v>
      </c>
      <c r="H929" s="12">
        <f>IF(F929=0,"",G929/F929)</f>
        <v/>
      </c>
    </row>
    <row r="930">
      <c r="A930" s="7" t="inlineStr">
        <is>
          <t>Simulado 02</t>
        </is>
      </c>
      <c r="B930" s="8" t="n">
        <v>10</v>
      </c>
      <c r="C930" s="8" t="inlineStr">
        <is>
          <t>11ª Fase</t>
        </is>
      </c>
      <c r="D930" s="8" t="inlineStr">
        <is>
          <t>A</t>
        </is>
      </c>
      <c r="E930" s="8" t="inlineStr">
        <is>
          <t>Sim</t>
        </is>
      </c>
      <c r="F930" s="8" t="n">
        <v>29</v>
      </c>
      <c r="G930" s="8" t="n">
        <v>5</v>
      </c>
      <c r="H930" s="9">
        <f>IF(F930=0,"",G930/F930)</f>
        <v/>
      </c>
    </row>
    <row r="931">
      <c r="A931" s="10" t="inlineStr">
        <is>
          <t>Simulado 02</t>
        </is>
      </c>
      <c r="B931" s="11" t="n">
        <v>10</v>
      </c>
      <c r="C931" s="11" t="inlineStr">
        <is>
          <t>11ª Fase</t>
        </is>
      </c>
      <c r="D931" s="11" t="inlineStr">
        <is>
          <t>B</t>
        </is>
      </c>
      <c r="E931" s="11" t="inlineStr">
        <is>
          <t>Não</t>
        </is>
      </c>
      <c r="F931" s="11" t="n">
        <v>29</v>
      </c>
      <c r="G931" s="11" t="n">
        <v>6</v>
      </c>
      <c r="H931" s="12">
        <f>IF(F931=0,"",G931/F931)</f>
        <v/>
      </c>
    </row>
    <row r="932">
      <c r="A932" s="7" t="inlineStr">
        <is>
          <t>Simulado 02</t>
        </is>
      </c>
      <c r="B932" s="8" t="n">
        <v>10</v>
      </c>
      <c r="C932" s="8" t="inlineStr">
        <is>
          <t>11ª Fase</t>
        </is>
      </c>
      <c r="D932" s="8" t="inlineStr">
        <is>
          <t>C</t>
        </is>
      </c>
      <c r="E932" s="8" t="inlineStr">
        <is>
          <t>Não</t>
        </is>
      </c>
      <c r="F932" s="8" t="n">
        <v>29</v>
      </c>
      <c r="G932" s="8" t="n">
        <v>15</v>
      </c>
      <c r="H932" s="9">
        <f>IF(F932=0,"",G932/F932)</f>
        <v/>
      </c>
    </row>
    <row r="933">
      <c r="A933" s="10" t="inlineStr">
        <is>
          <t>Simulado 02</t>
        </is>
      </c>
      <c r="B933" s="11" t="n">
        <v>10</v>
      </c>
      <c r="C933" s="11" t="inlineStr">
        <is>
          <t>11ª Fase</t>
        </is>
      </c>
      <c r="D933" s="11" t="inlineStr">
        <is>
          <t>D</t>
        </is>
      </c>
      <c r="E933" s="11" t="inlineStr">
        <is>
          <t>Não</t>
        </is>
      </c>
      <c r="F933" s="11" t="n">
        <v>29</v>
      </c>
      <c r="G933" s="11" t="n">
        <v>3</v>
      </c>
      <c r="H933" s="12">
        <f>IF(F933=0,"",G933/F933)</f>
        <v/>
      </c>
    </row>
    <row r="934">
      <c r="A934" s="7" t="inlineStr">
        <is>
          <t>Simulado 02</t>
        </is>
      </c>
      <c r="B934" s="8" t="n">
        <v>11</v>
      </c>
      <c r="C934" s="8" t="inlineStr">
        <is>
          <t>6ª Fase</t>
        </is>
      </c>
      <c r="D934" s="8" t="inlineStr">
        <is>
          <t>A</t>
        </is>
      </c>
      <c r="E934" s="8" t="inlineStr">
        <is>
          <t>Não</t>
        </is>
      </c>
      <c r="F934" s="8" t="n">
        <v>28</v>
      </c>
      <c r="G934" s="8" t="n">
        <v>2</v>
      </c>
      <c r="H934" s="9">
        <f>IF(F934=0,"",G934/F934)</f>
        <v/>
      </c>
    </row>
    <row r="935">
      <c r="A935" s="10" t="inlineStr">
        <is>
          <t>Simulado 02</t>
        </is>
      </c>
      <c r="B935" s="11" t="n">
        <v>11</v>
      </c>
      <c r="C935" s="11" t="inlineStr">
        <is>
          <t>6ª Fase</t>
        </is>
      </c>
      <c r="D935" s="11" t="inlineStr">
        <is>
          <t>B</t>
        </is>
      </c>
      <c r="E935" s="11" t="inlineStr">
        <is>
          <t>Não</t>
        </is>
      </c>
      <c r="F935" s="11" t="n">
        <v>28</v>
      </c>
      <c r="G935" s="11" t="n">
        <v>6</v>
      </c>
      <c r="H935" s="12">
        <f>IF(F935=0,"",G935/F935)</f>
        <v/>
      </c>
    </row>
    <row r="936">
      <c r="A936" s="7" t="inlineStr">
        <is>
          <t>Simulado 02</t>
        </is>
      </c>
      <c r="B936" s="8" t="n">
        <v>11</v>
      </c>
      <c r="C936" s="8" t="inlineStr">
        <is>
          <t>6ª Fase</t>
        </is>
      </c>
      <c r="D936" s="8" t="inlineStr">
        <is>
          <t>C</t>
        </is>
      </c>
      <c r="E936" s="8" t="inlineStr">
        <is>
          <t>Não</t>
        </is>
      </c>
      <c r="F936" s="8" t="n">
        <v>28</v>
      </c>
      <c r="G936" s="8" t="n">
        <v>10</v>
      </c>
      <c r="H936" s="9">
        <f>IF(F936=0,"",G936/F936)</f>
        <v/>
      </c>
    </row>
    <row r="937">
      <c r="A937" s="10" t="inlineStr">
        <is>
          <t>Simulado 02</t>
        </is>
      </c>
      <c r="B937" s="11" t="n">
        <v>11</v>
      </c>
      <c r="C937" s="11" t="inlineStr">
        <is>
          <t>6ª Fase</t>
        </is>
      </c>
      <c r="D937" s="11" t="inlineStr">
        <is>
          <t>D</t>
        </is>
      </c>
      <c r="E937" s="11" t="inlineStr">
        <is>
          <t>Sim</t>
        </is>
      </c>
      <c r="F937" s="11" t="n">
        <v>28</v>
      </c>
      <c r="G937" s="11" t="n">
        <v>10</v>
      </c>
      <c r="H937" s="12">
        <f>IF(F937=0,"",G937/F937)</f>
        <v/>
      </c>
    </row>
    <row r="938">
      <c r="A938" s="7" t="inlineStr">
        <is>
          <t>Simulado 02</t>
        </is>
      </c>
      <c r="B938" s="8" t="n">
        <v>11</v>
      </c>
      <c r="C938" s="8" t="inlineStr">
        <is>
          <t>7ª Fase</t>
        </is>
      </c>
      <c r="D938" s="8" t="inlineStr">
        <is>
          <t>A</t>
        </is>
      </c>
      <c r="E938" s="8" t="inlineStr">
        <is>
          <t>Não</t>
        </is>
      </c>
      <c r="F938" s="8" t="n">
        <v>32</v>
      </c>
      <c r="G938" s="8" t="n">
        <v>1</v>
      </c>
      <c r="H938" s="9">
        <f>IF(F938=0,"",G938/F938)</f>
        <v/>
      </c>
    </row>
    <row r="939">
      <c r="A939" s="10" t="inlineStr">
        <is>
          <t>Simulado 02</t>
        </is>
      </c>
      <c r="B939" s="11" t="n">
        <v>11</v>
      </c>
      <c r="C939" s="11" t="inlineStr">
        <is>
          <t>7ª Fase</t>
        </is>
      </c>
      <c r="D939" s="11" t="inlineStr">
        <is>
          <t>B</t>
        </is>
      </c>
      <c r="E939" s="11" t="inlineStr">
        <is>
          <t>Não</t>
        </is>
      </c>
      <c r="F939" s="11" t="n">
        <v>32</v>
      </c>
      <c r="G939" s="11" t="n">
        <v>7</v>
      </c>
      <c r="H939" s="12">
        <f>IF(F939=0,"",G939/F939)</f>
        <v/>
      </c>
    </row>
    <row r="940">
      <c r="A940" s="7" t="inlineStr">
        <is>
          <t>Simulado 02</t>
        </is>
      </c>
      <c r="B940" s="8" t="n">
        <v>11</v>
      </c>
      <c r="C940" s="8" t="inlineStr">
        <is>
          <t>7ª Fase</t>
        </is>
      </c>
      <c r="D940" s="8" t="inlineStr">
        <is>
          <t>C</t>
        </is>
      </c>
      <c r="E940" s="8" t="inlineStr">
        <is>
          <t>Não</t>
        </is>
      </c>
      <c r="F940" s="8" t="n">
        <v>32</v>
      </c>
      <c r="G940" s="8" t="n">
        <v>12</v>
      </c>
      <c r="H940" s="9">
        <f>IF(F940=0,"",G940/F940)</f>
        <v/>
      </c>
    </row>
    <row r="941">
      <c r="A941" s="10" t="inlineStr">
        <is>
          <t>Simulado 02</t>
        </is>
      </c>
      <c r="B941" s="11" t="n">
        <v>11</v>
      </c>
      <c r="C941" s="11" t="inlineStr">
        <is>
          <t>7ª Fase</t>
        </is>
      </c>
      <c r="D941" s="11" t="inlineStr">
        <is>
          <t>D</t>
        </is>
      </c>
      <c r="E941" s="11" t="inlineStr">
        <is>
          <t>Sim</t>
        </is>
      </c>
      <c r="F941" s="11" t="n">
        <v>32</v>
      </c>
      <c r="G941" s="11" t="n">
        <v>12</v>
      </c>
      <c r="H941" s="12">
        <f>IF(F941=0,"",G941/F941)</f>
        <v/>
      </c>
    </row>
    <row r="942">
      <c r="A942" s="7" t="inlineStr">
        <is>
          <t>Simulado 02</t>
        </is>
      </c>
      <c r="B942" s="8" t="n">
        <v>11</v>
      </c>
      <c r="C942" s="8" t="inlineStr">
        <is>
          <t>10ª Fase</t>
        </is>
      </c>
      <c r="D942" s="8" t="inlineStr">
        <is>
          <t>A</t>
        </is>
      </c>
      <c r="E942" s="8" t="inlineStr">
        <is>
          <t>Não</t>
        </is>
      </c>
      <c r="F942" s="8" t="n">
        <v>31</v>
      </c>
      <c r="G942" s="8" t="n">
        <v>0</v>
      </c>
      <c r="H942" s="9">
        <f>IF(F942=0,"",G942/F942)</f>
        <v/>
      </c>
    </row>
    <row r="943">
      <c r="A943" s="10" t="inlineStr">
        <is>
          <t>Simulado 02</t>
        </is>
      </c>
      <c r="B943" s="11" t="n">
        <v>11</v>
      </c>
      <c r="C943" s="11" t="inlineStr">
        <is>
          <t>10ª Fase</t>
        </is>
      </c>
      <c r="D943" s="11" t="inlineStr">
        <is>
          <t>B</t>
        </is>
      </c>
      <c r="E943" s="11" t="inlineStr">
        <is>
          <t>Não</t>
        </is>
      </c>
      <c r="F943" s="11" t="n">
        <v>31</v>
      </c>
      <c r="G943" s="11" t="n">
        <v>5</v>
      </c>
      <c r="H943" s="12">
        <f>IF(F943=0,"",G943/F943)</f>
        <v/>
      </c>
    </row>
    <row r="944">
      <c r="A944" s="7" t="inlineStr">
        <is>
          <t>Simulado 02</t>
        </is>
      </c>
      <c r="B944" s="8" t="n">
        <v>11</v>
      </c>
      <c r="C944" s="8" t="inlineStr">
        <is>
          <t>10ª Fase</t>
        </is>
      </c>
      <c r="D944" s="8" t="inlineStr">
        <is>
          <t>C</t>
        </is>
      </c>
      <c r="E944" s="8" t="inlineStr">
        <is>
          <t>Não</t>
        </is>
      </c>
      <c r="F944" s="8" t="n">
        <v>31</v>
      </c>
      <c r="G944" s="8" t="n">
        <v>7</v>
      </c>
      <c r="H944" s="9">
        <f>IF(F944=0,"",G944/F944)</f>
        <v/>
      </c>
    </row>
    <row r="945">
      <c r="A945" s="10" t="inlineStr">
        <is>
          <t>Simulado 02</t>
        </is>
      </c>
      <c r="B945" s="11" t="n">
        <v>11</v>
      </c>
      <c r="C945" s="11" t="inlineStr">
        <is>
          <t>10ª Fase</t>
        </is>
      </c>
      <c r="D945" s="11" t="inlineStr">
        <is>
          <t>D</t>
        </is>
      </c>
      <c r="E945" s="11" t="inlineStr">
        <is>
          <t>Sim</t>
        </is>
      </c>
      <c r="F945" s="11" t="n">
        <v>31</v>
      </c>
      <c r="G945" s="11" t="n">
        <v>19</v>
      </c>
      <c r="H945" s="12">
        <f>IF(F945=0,"",G945/F945)</f>
        <v/>
      </c>
    </row>
    <row r="946">
      <c r="A946" s="7" t="inlineStr">
        <is>
          <t>Simulado 02</t>
        </is>
      </c>
      <c r="B946" s="8" t="n">
        <v>11</v>
      </c>
      <c r="C946" s="8" t="inlineStr">
        <is>
          <t>11ª Fase</t>
        </is>
      </c>
      <c r="D946" s="8" t="inlineStr">
        <is>
          <t>A</t>
        </is>
      </c>
      <c r="E946" s="8" t="inlineStr">
        <is>
          <t>Não</t>
        </is>
      </c>
      <c r="F946" s="8" t="n">
        <v>29</v>
      </c>
      <c r="G946" s="8" t="n">
        <v>0</v>
      </c>
      <c r="H946" s="9">
        <f>IF(F946=0,"",G946/F946)</f>
        <v/>
      </c>
    </row>
    <row r="947">
      <c r="A947" s="10" t="inlineStr">
        <is>
          <t>Simulado 02</t>
        </is>
      </c>
      <c r="B947" s="11" t="n">
        <v>11</v>
      </c>
      <c r="C947" s="11" t="inlineStr">
        <is>
          <t>11ª Fase</t>
        </is>
      </c>
      <c r="D947" s="11" t="inlineStr">
        <is>
          <t>B</t>
        </is>
      </c>
      <c r="E947" s="11" t="inlineStr">
        <is>
          <t>Não</t>
        </is>
      </c>
      <c r="F947" s="11" t="n">
        <v>29</v>
      </c>
      <c r="G947" s="11" t="n">
        <v>7</v>
      </c>
      <c r="H947" s="12">
        <f>IF(F947=0,"",G947/F947)</f>
        <v/>
      </c>
    </row>
    <row r="948">
      <c r="A948" s="7" t="inlineStr">
        <is>
          <t>Simulado 02</t>
        </is>
      </c>
      <c r="B948" s="8" t="n">
        <v>11</v>
      </c>
      <c r="C948" s="8" t="inlineStr">
        <is>
          <t>11ª Fase</t>
        </is>
      </c>
      <c r="D948" s="8" t="inlineStr">
        <is>
          <t>C</t>
        </is>
      </c>
      <c r="E948" s="8" t="inlineStr">
        <is>
          <t>Não</t>
        </is>
      </c>
      <c r="F948" s="8" t="n">
        <v>29</v>
      </c>
      <c r="G948" s="8" t="n">
        <v>1</v>
      </c>
      <c r="H948" s="9">
        <f>IF(F948=0,"",G948/F948)</f>
        <v/>
      </c>
    </row>
    <row r="949">
      <c r="A949" s="10" t="inlineStr">
        <is>
          <t>Simulado 02</t>
        </is>
      </c>
      <c r="B949" s="11" t="n">
        <v>11</v>
      </c>
      <c r="C949" s="11" t="inlineStr">
        <is>
          <t>11ª Fase</t>
        </is>
      </c>
      <c r="D949" s="11" t="inlineStr">
        <is>
          <t>D</t>
        </is>
      </c>
      <c r="E949" s="11" t="inlineStr">
        <is>
          <t>Sim</t>
        </is>
      </c>
      <c r="F949" s="11" t="n">
        <v>29</v>
      </c>
      <c r="G949" s="11" t="n">
        <v>21</v>
      </c>
      <c r="H949" s="12">
        <f>IF(F949=0,"",G949/F949)</f>
        <v/>
      </c>
    </row>
    <row r="950">
      <c r="A950" s="7" t="inlineStr">
        <is>
          <t>Simulado 02</t>
        </is>
      </c>
      <c r="B950" s="8" t="n">
        <v>12</v>
      </c>
      <c r="C950" s="8" t="inlineStr">
        <is>
          <t>6ª Fase</t>
        </is>
      </c>
      <c r="D950" s="8" t="inlineStr">
        <is>
          <t>A</t>
        </is>
      </c>
      <c r="E950" s="8" t="inlineStr">
        <is>
          <t>Não</t>
        </is>
      </c>
      <c r="F950" s="8" t="n">
        <v>28</v>
      </c>
      <c r="G950" s="8" t="n">
        <v>10</v>
      </c>
      <c r="H950" s="9">
        <f>IF(F950=0,"",G950/F950)</f>
        <v/>
      </c>
    </row>
    <row r="951">
      <c r="A951" s="10" t="inlineStr">
        <is>
          <t>Simulado 02</t>
        </is>
      </c>
      <c r="B951" s="11" t="n">
        <v>12</v>
      </c>
      <c r="C951" s="11" t="inlineStr">
        <is>
          <t>6ª Fase</t>
        </is>
      </c>
      <c r="D951" s="11" t="inlineStr">
        <is>
          <t>B</t>
        </is>
      </c>
      <c r="E951" s="11" t="inlineStr">
        <is>
          <t>Não</t>
        </is>
      </c>
      <c r="F951" s="11" t="n">
        <v>28</v>
      </c>
      <c r="G951" s="11" t="n">
        <v>1</v>
      </c>
      <c r="H951" s="12">
        <f>IF(F951=0,"",G951/F951)</f>
        <v/>
      </c>
    </row>
    <row r="952">
      <c r="A952" s="7" t="inlineStr">
        <is>
          <t>Simulado 02</t>
        </is>
      </c>
      <c r="B952" s="8" t="n">
        <v>12</v>
      </c>
      <c r="C952" s="8" t="inlineStr">
        <is>
          <t>6ª Fase</t>
        </is>
      </c>
      <c r="D952" s="8" t="inlineStr">
        <is>
          <t>C</t>
        </is>
      </c>
      <c r="E952" s="8" t="inlineStr">
        <is>
          <t>Sim</t>
        </is>
      </c>
      <c r="F952" s="8" t="n">
        <v>28</v>
      </c>
      <c r="G952" s="8" t="n">
        <v>10</v>
      </c>
      <c r="H952" s="9">
        <f>IF(F952=0,"",G952/F952)</f>
        <v/>
      </c>
    </row>
    <row r="953">
      <c r="A953" s="10" t="inlineStr">
        <is>
          <t>Simulado 02</t>
        </is>
      </c>
      <c r="B953" s="11" t="n">
        <v>12</v>
      </c>
      <c r="C953" s="11" t="inlineStr">
        <is>
          <t>6ª Fase</t>
        </is>
      </c>
      <c r="D953" s="11" t="inlineStr">
        <is>
          <t>D</t>
        </is>
      </c>
      <c r="E953" s="11" t="inlineStr">
        <is>
          <t>Não</t>
        </is>
      </c>
      <c r="F953" s="11" t="n">
        <v>28</v>
      </c>
      <c r="G953" s="11" t="n">
        <v>7</v>
      </c>
      <c r="H953" s="12">
        <f>IF(F953=0,"",G953/F953)</f>
        <v/>
      </c>
    </row>
    <row r="954">
      <c r="A954" s="7" t="inlineStr">
        <is>
          <t>Simulado 02</t>
        </is>
      </c>
      <c r="B954" s="8" t="n">
        <v>12</v>
      </c>
      <c r="C954" s="8" t="inlineStr">
        <is>
          <t>7ª Fase</t>
        </is>
      </c>
      <c r="D954" s="8" t="inlineStr">
        <is>
          <t>A</t>
        </is>
      </c>
      <c r="E954" s="8" t="inlineStr">
        <is>
          <t>Não</t>
        </is>
      </c>
      <c r="F954" s="8" t="n">
        <v>32</v>
      </c>
      <c r="G954" s="8" t="n">
        <v>15</v>
      </c>
      <c r="H954" s="9">
        <f>IF(F954=0,"",G954/F954)</f>
        <v/>
      </c>
    </row>
    <row r="955">
      <c r="A955" s="10" t="inlineStr">
        <is>
          <t>Simulado 02</t>
        </is>
      </c>
      <c r="B955" s="11" t="n">
        <v>12</v>
      </c>
      <c r="C955" s="11" t="inlineStr">
        <is>
          <t>7ª Fase</t>
        </is>
      </c>
      <c r="D955" s="11" t="inlineStr">
        <is>
          <t>B</t>
        </is>
      </c>
      <c r="E955" s="11" t="inlineStr">
        <is>
          <t>Não</t>
        </is>
      </c>
      <c r="F955" s="11" t="n">
        <v>32</v>
      </c>
      <c r="G955" s="11" t="n">
        <v>1</v>
      </c>
      <c r="H955" s="12">
        <f>IF(F955=0,"",G955/F955)</f>
        <v/>
      </c>
    </row>
    <row r="956">
      <c r="A956" s="7" t="inlineStr">
        <is>
          <t>Simulado 02</t>
        </is>
      </c>
      <c r="B956" s="8" t="n">
        <v>12</v>
      </c>
      <c r="C956" s="8" t="inlineStr">
        <is>
          <t>7ª Fase</t>
        </is>
      </c>
      <c r="D956" s="8" t="inlineStr">
        <is>
          <t>C</t>
        </is>
      </c>
      <c r="E956" s="8" t="inlineStr">
        <is>
          <t>Sim</t>
        </is>
      </c>
      <c r="F956" s="8" t="n">
        <v>32</v>
      </c>
      <c r="G956" s="8" t="n">
        <v>8</v>
      </c>
      <c r="H956" s="9">
        <f>IF(F956=0,"",G956/F956)</f>
        <v/>
      </c>
    </row>
    <row r="957">
      <c r="A957" s="10" t="inlineStr">
        <is>
          <t>Simulado 02</t>
        </is>
      </c>
      <c r="B957" s="11" t="n">
        <v>12</v>
      </c>
      <c r="C957" s="11" t="inlineStr">
        <is>
          <t>7ª Fase</t>
        </is>
      </c>
      <c r="D957" s="11" t="inlineStr">
        <is>
          <t>D</t>
        </is>
      </c>
      <c r="E957" s="11" t="inlineStr">
        <is>
          <t>Não</t>
        </is>
      </c>
      <c r="F957" s="11" t="n">
        <v>32</v>
      </c>
      <c r="G957" s="11" t="n">
        <v>8</v>
      </c>
      <c r="H957" s="12">
        <f>IF(F957=0,"",G957/F957)</f>
        <v/>
      </c>
    </row>
    <row r="958">
      <c r="A958" s="7" t="inlineStr">
        <is>
          <t>Simulado 02</t>
        </is>
      </c>
      <c r="B958" s="8" t="n">
        <v>12</v>
      </c>
      <c r="C958" s="8" t="inlineStr">
        <is>
          <t>10ª Fase</t>
        </is>
      </c>
      <c r="D958" s="8" t="inlineStr">
        <is>
          <t>A</t>
        </is>
      </c>
      <c r="E958" s="8" t="inlineStr">
        <is>
          <t>Não</t>
        </is>
      </c>
      <c r="F958" s="8" t="n">
        <v>31</v>
      </c>
      <c r="G958" s="8" t="n">
        <v>22</v>
      </c>
      <c r="H958" s="9">
        <f>IF(F958=0,"",G958/F958)</f>
        <v/>
      </c>
    </row>
    <row r="959">
      <c r="A959" s="10" t="inlineStr">
        <is>
          <t>Simulado 02</t>
        </is>
      </c>
      <c r="B959" s="11" t="n">
        <v>12</v>
      </c>
      <c r="C959" s="11" t="inlineStr">
        <is>
          <t>10ª Fase</t>
        </is>
      </c>
      <c r="D959" s="11" t="inlineStr">
        <is>
          <t>B</t>
        </is>
      </c>
      <c r="E959" s="11" t="inlineStr">
        <is>
          <t>Não</t>
        </is>
      </c>
      <c r="F959" s="11" t="n">
        <v>31</v>
      </c>
      <c r="G959" s="11" t="n">
        <v>0</v>
      </c>
      <c r="H959" s="12">
        <f>IF(F959=0,"",G959/F959)</f>
        <v/>
      </c>
    </row>
    <row r="960">
      <c r="A960" s="7" t="inlineStr">
        <is>
          <t>Simulado 02</t>
        </is>
      </c>
      <c r="B960" s="8" t="n">
        <v>12</v>
      </c>
      <c r="C960" s="8" t="inlineStr">
        <is>
          <t>10ª Fase</t>
        </is>
      </c>
      <c r="D960" s="8" t="inlineStr">
        <is>
          <t>C</t>
        </is>
      </c>
      <c r="E960" s="8" t="inlineStr">
        <is>
          <t>Sim</t>
        </is>
      </c>
      <c r="F960" s="8" t="n">
        <v>31</v>
      </c>
      <c r="G960" s="8" t="n">
        <v>5</v>
      </c>
      <c r="H960" s="9">
        <f>IF(F960=0,"",G960/F960)</f>
        <v/>
      </c>
    </row>
    <row r="961">
      <c r="A961" s="10" t="inlineStr">
        <is>
          <t>Simulado 02</t>
        </is>
      </c>
      <c r="B961" s="11" t="n">
        <v>12</v>
      </c>
      <c r="C961" s="11" t="inlineStr">
        <is>
          <t>10ª Fase</t>
        </is>
      </c>
      <c r="D961" s="11" t="inlineStr">
        <is>
          <t>D</t>
        </is>
      </c>
      <c r="E961" s="11" t="inlineStr">
        <is>
          <t>Não</t>
        </is>
      </c>
      <c r="F961" s="11" t="n">
        <v>31</v>
      </c>
      <c r="G961" s="11" t="n">
        <v>4</v>
      </c>
      <c r="H961" s="12">
        <f>IF(F961=0,"",G961/F961)</f>
        <v/>
      </c>
    </row>
    <row r="962">
      <c r="A962" s="7" t="inlineStr">
        <is>
          <t>Simulado 02</t>
        </is>
      </c>
      <c r="B962" s="8" t="n">
        <v>12</v>
      </c>
      <c r="C962" s="8" t="inlineStr">
        <is>
          <t>11ª Fase</t>
        </is>
      </c>
      <c r="D962" s="8" t="inlineStr">
        <is>
          <t>A</t>
        </is>
      </c>
      <c r="E962" s="8" t="inlineStr">
        <is>
          <t>Não</t>
        </is>
      </c>
      <c r="F962" s="8" t="n">
        <v>29</v>
      </c>
      <c r="G962" s="8" t="n">
        <v>14</v>
      </c>
      <c r="H962" s="9">
        <f>IF(F962=0,"",G962/F962)</f>
        <v/>
      </c>
    </row>
    <row r="963">
      <c r="A963" s="10" t="inlineStr">
        <is>
          <t>Simulado 02</t>
        </is>
      </c>
      <c r="B963" s="11" t="n">
        <v>12</v>
      </c>
      <c r="C963" s="11" t="inlineStr">
        <is>
          <t>11ª Fase</t>
        </is>
      </c>
      <c r="D963" s="11" t="inlineStr">
        <is>
          <t>B</t>
        </is>
      </c>
      <c r="E963" s="11" t="inlineStr">
        <is>
          <t>Não</t>
        </is>
      </c>
      <c r="F963" s="11" t="n">
        <v>29</v>
      </c>
      <c r="G963" s="11" t="n">
        <v>1</v>
      </c>
      <c r="H963" s="12">
        <f>IF(F963=0,"",G963/F963)</f>
        <v/>
      </c>
    </row>
    <row r="964">
      <c r="A964" s="7" t="inlineStr">
        <is>
          <t>Simulado 02</t>
        </is>
      </c>
      <c r="B964" s="8" t="n">
        <v>12</v>
      </c>
      <c r="C964" s="8" t="inlineStr">
        <is>
          <t>11ª Fase</t>
        </is>
      </c>
      <c r="D964" s="8" t="inlineStr">
        <is>
          <t>C</t>
        </is>
      </c>
      <c r="E964" s="8" t="inlineStr">
        <is>
          <t>Sim</t>
        </is>
      </c>
      <c r="F964" s="8" t="n">
        <v>29</v>
      </c>
      <c r="G964" s="8" t="n">
        <v>14</v>
      </c>
      <c r="H964" s="9">
        <f>IF(F964=0,"",G964/F964)</f>
        <v/>
      </c>
    </row>
    <row r="965">
      <c r="A965" s="10" t="inlineStr">
        <is>
          <t>Simulado 02</t>
        </is>
      </c>
      <c r="B965" s="11" t="n">
        <v>12</v>
      </c>
      <c r="C965" s="11" t="inlineStr">
        <is>
          <t>11ª Fase</t>
        </is>
      </c>
      <c r="D965" s="11" t="inlineStr">
        <is>
          <t>D</t>
        </is>
      </c>
      <c r="E965" s="11" t="inlineStr">
        <is>
          <t>Não</t>
        </is>
      </c>
      <c r="F965" s="11" t="n">
        <v>29</v>
      </c>
      <c r="G965" s="11" t="n">
        <v>0</v>
      </c>
      <c r="H965" s="12">
        <f>IF(F965=0,"",G965/F965)</f>
        <v/>
      </c>
    </row>
    <row r="966">
      <c r="A966" s="7" t="inlineStr">
        <is>
          <t>Simulado 02</t>
        </is>
      </c>
      <c r="B966" s="8" t="n">
        <v>13</v>
      </c>
      <c r="C966" s="8" t="inlineStr">
        <is>
          <t>6ª Fase</t>
        </is>
      </c>
      <c r="D966" s="8" t="inlineStr">
        <is>
          <t>A</t>
        </is>
      </c>
      <c r="E966" s="8" t="inlineStr">
        <is>
          <t>Não</t>
        </is>
      </c>
      <c r="F966" s="8" t="n">
        <v>28</v>
      </c>
      <c r="G966" s="8" t="n">
        <v>1</v>
      </c>
      <c r="H966" s="9">
        <f>IF(F966=0,"",G966/F966)</f>
        <v/>
      </c>
    </row>
    <row r="967">
      <c r="A967" s="10" t="inlineStr">
        <is>
          <t>Simulado 02</t>
        </is>
      </c>
      <c r="B967" s="11" t="n">
        <v>13</v>
      </c>
      <c r="C967" s="11" t="inlineStr">
        <is>
          <t>6ª Fase</t>
        </is>
      </c>
      <c r="D967" s="11" t="inlineStr">
        <is>
          <t>B</t>
        </is>
      </c>
      <c r="E967" s="11" t="inlineStr">
        <is>
          <t>Sim</t>
        </is>
      </c>
      <c r="F967" s="11" t="n">
        <v>28</v>
      </c>
      <c r="G967" s="11" t="n">
        <v>25</v>
      </c>
      <c r="H967" s="12">
        <f>IF(F967=0,"",G967/F967)</f>
        <v/>
      </c>
    </row>
    <row r="968">
      <c r="A968" s="7" t="inlineStr">
        <is>
          <t>Simulado 02</t>
        </is>
      </c>
      <c r="B968" s="8" t="n">
        <v>13</v>
      </c>
      <c r="C968" s="8" t="inlineStr">
        <is>
          <t>6ª Fase</t>
        </is>
      </c>
      <c r="D968" s="8" t="inlineStr">
        <is>
          <t>C</t>
        </is>
      </c>
      <c r="E968" s="8" t="inlineStr">
        <is>
          <t>Não</t>
        </is>
      </c>
      <c r="F968" s="8" t="n">
        <v>28</v>
      </c>
      <c r="G968" s="8" t="n">
        <v>0</v>
      </c>
      <c r="H968" s="9">
        <f>IF(F968=0,"",G968/F968)</f>
        <v/>
      </c>
    </row>
    <row r="969">
      <c r="A969" s="10" t="inlineStr">
        <is>
          <t>Simulado 02</t>
        </is>
      </c>
      <c r="B969" s="11" t="n">
        <v>13</v>
      </c>
      <c r="C969" s="11" t="inlineStr">
        <is>
          <t>6ª Fase</t>
        </is>
      </c>
      <c r="D969" s="11" t="inlineStr">
        <is>
          <t>D</t>
        </is>
      </c>
      <c r="E969" s="11" t="inlineStr">
        <is>
          <t>Não</t>
        </is>
      </c>
      <c r="F969" s="11" t="n">
        <v>28</v>
      </c>
      <c r="G969" s="11" t="n">
        <v>2</v>
      </c>
      <c r="H969" s="12">
        <f>IF(F969=0,"",G969/F969)</f>
        <v/>
      </c>
    </row>
    <row r="970">
      <c r="A970" s="7" t="inlineStr">
        <is>
          <t>Simulado 02</t>
        </is>
      </c>
      <c r="B970" s="8" t="n">
        <v>13</v>
      </c>
      <c r="C970" s="8" t="inlineStr">
        <is>
          <t>7ª Fase</t>
        </is>
      </c>
      <c r="D970" s="8" t="inlineStr">
        <is>
          <t>A</t>
        </is>
      </c>
      <c r="E970" s="8" t="inlineStr">
        <is>
          <t>Não</t>
        </is>
      </c>
      <c r="F970" s="8" t="n">
        <v>32</v>
      </c>
      <c r="G970" s="8" t="n">
        <v>2</v>
      </c>
      <c r="H970" s="9">
        <f>IF(F970=0,"",G970/F970)</f>
        <v/>
      </c>
    </row>
    <row r="971">
      <c r="A971" s="10" t="inlineStr">
        <is>
          <t>Simulado 02</t>
        </is>
      </c>
      <c r="B971" s="11" t="n">
        <v>13</v>
      </c>
      <c r="C971" s="11" t="inlineStr">
        <is>
          <t>7ª Fase</t>
        </is>
      </c>
      <c r="D971" s="11" t="inlineStr">
        <is>
          <t>B</t>
        </is>
      </c>
      <c r="E971" s="11" t="inlineStr">
        <is>
          <t>Sim</t>
        </is>
      </c>
      <c r="F971" s="11" t="n">
        <v>32</v>
      </c>
      <c r="G971" s="11" t="n">
        <v>26</v>
      </c>
      <c r="H971" s="12">
        <f>IF(F971=0,"",G971/F971)</f>
        <v/>
      </c>
    </row>
    <row r="972">
      <c r="A972" s="7" t="inlineStr">
        <is>
          <t>Simulado 02</t>
        </is>
      </c>
      <c r="B972" s="8" t="n">
        <v>13</v>
      </c>
      <c r="C972" s="8" t="inlineStr">
        <is>
          <t>7ª Fase</t>
        </is>
      </c>
      <c r="D972" s="8" t="inlineStr">
        <is>
          <t>C</t>
        </is>
      </c>
      <c r="E972" s="8" t="inlineStr">
        <is>
          <t>Não</t>
        </is>
      </c>
      <c r="F972" s="8" t="n">
        <v>32</v>
      </c>
      <c r="G972" s="8" t="n">
        <v>2</v>
      </c>
      <c r="H972" s="9">
        <f>IF(F972=0,"",G972/F972)</f>
        <v/>
      </c>
    </row>
    <row r="973">
      <c r="A973" s="10" t="inlineStr">
        <is>
          <t>Simulado 02</t>
        </is>
      </c>
      <c r="B973" s="11" t="n">
        <v>13</v>
      </c>
      <c r="C973" s="11" t="inlineStr">
        <is>
          <t>7ª Fase</t>
        </is>
      </c>
      <c r="D973" s="11" t="inlineStr">
        <is>
          <t>D</t>
        </is>
      </c>
      <c r="E973" s="11" t="inlineStr">
        <is>
          <t>Não</t>
        </is>
      </c>
      <c r="F973" s="11" t="n">
        <v>32</v>
      </c>
      <c r="G973" s="11" t="n">
        <v>2</v>
      </c>
      <c r="H973" s="12">
        <f>IF(F973=0,"",G973/F973)</f>
        <v/>
      </c>
    </row>
    <row r="974">
      <c r="A974" s="7" t="inlineStr">
        <is>
          <t>Simulado 02</t>
        </is>
      </c>
      <c r="B974" s="8" t="n">
        <v>13</v>
      </c>
      <c r="C974" s="8" t="inlineStr">
        <is>
          <t>10ª Fase</t>
        </is>
      </c>
      <c r="D974" s="8" t="inlineStr">
        <is>
          <t>A</t>
        </is>
      </c>
      <c r="E974" s="8" t="inlineStr">
        <is>
          <t>Não</t>
        </is>
      </c>
      <c r="F974" s="8" t="n">
        <v>31</v>
      </c>
      <c r="G974" s="8" t="n">
        <v>0</v>
      </c>
      <c r="H974" s="9">
        <f>IF(F974=0,"",G974/F974)</f>
        <v/>
      </c>
    </row>
    <row r="975">
      <c r="A975" s="10" t="inlineStr">
        <is>
          <t>Simulado 02</t>
        </is>
      </c>
      <c r="B975" s="11" t="n">
        <v>13</v>
      </c>
      <c r="C975" s="11" t="inlineStr">
        <is>
          <t>10ª Fase</t>
        </is>
      </c>
      <c r="D975" s="11" t="inlineStr">
        <is>
          <t>B</t>
        </is>
      </c>
      <c r="E975" s="11" t="inlineStr">
        <is>
          <t>Sim</t>
        </is>
      </c>
      <c r="F975" s="11" t="n">
        <v>31</v>
      </c>
      <c r="G975" s="11" t="n">
        <v>29</v>
      </c>
      <c r="H975" s="12">
        <f>IF(F975=0,"",G975/F975)</f>
        <v/>
      </c>
    </row>
    <row r="976">
      <c r="A976" s="7" t="inlineStr">
        <is>
          <t>Simulado 02</t>
        </is>
      </c>
      <c r="B976" s="8" t="n">
        <v>13</v>
      </c>
      <c r="C976" s="8" t="inlineStr">
        <is>
          <t>10ª Fase</t>
        </is>
      </c>
      <c r="D976" s="8" t="inlineStr">
        <is>
          <t>C</t>
        </is>
      </c>
      <c r="E976" s="8" t="inlineStr">
        <is>
          <t>Não</t>
        </is>
      </c>
      <c r="F976" s="8" t="n">
        <v>31</v>
      </c>
      <c r="G976" s="8" t="n">
        <v>1</v>
      </c>
      <c r="H976" s="9">
        <f>IF(F976=0,"",G976/F976)</f>
        <v/>
      </c>
    </row>
    <row r="977">
      <c r="A977" s="10" t="inlineStr">
        <is>
          <t>Simulado 02</t>
        </is>
      </c>
      <c r="B977" s="11" t="n">
        <v>13</v>
      </c>
      <c r="C977" s="11" t="inlineStr">
        <is>
          <t>10ª Fase</t>
        </is>
      </c>
      <c r="D977" s="11" t="inlineStr">
        <is>
          <t>D</t>
        </is>
      </c>
      <c r="E977" s="11" t="inlineStr">
        <is>
          <t>Não</t>
        </is>
      </c>
      <c r="F977" s="11" t="n">
        <v>31</v>
      </c>
      <c r="G977" s="11" t="n">
        <v>1</v>
      </c>
      <c r="H977" s="12">
        <f>IF(F977=0,"",G977/F977)</f>
        <v/>
      </c>
    </row>
    <row r="978">
      <c r="A978" s="7" t="inlineStr">
        <is>
          <t>Simulado 02</t>
        </is>
      </c>
      <c r="B978" s="8" t="n">
        <v>13</v>
      </c>
      <c r="C978" s="8" t="inlineStr">
        <is>
          <t>11ª Fase</t>
        </is>
      </c>
      <c r="D978" s="8" t="inlineStr">
        <is>
          <t>A</t>
        </is>
      </c>
      <c r="E978" s="8" t="inlineStr">
        <is>
          <t>Não</t>
        </is>
      </c>
      <c r="F978" s="8" t="n">
        <v>29</v>
      </c>
      <c r="G978" s="8" t="n">
        <v>2</v>
      </c>
      <c r="H978" s="9">
        <f>IF(F978=0,"",G978/F978)</f>
        <v/>
      </c>
    </row>
    <row r="979">
      <c r="A979" s="10" t="inlineStr">
        <is>
          <t>Simulado 02</t>
        </is>
      </c>
      <c r="B979" s="11" t="n">
        <v>13</v>
      </c>
      <c r="C979" s="11" t="inlineStr">
        <is>
          <t>11ª Fase</t>
        </is>
      </c>
      <c r="D979" s="11" t="inlineStr">
        <is>
          <t>B</t>
        </is>
      </c>
      <c r="E979" s="11" t="inlineStr">
        <is>
          <t>Sim</t>
        </is>
      </c>
      <c r="F979" s="11" t="n">
        <v>29</v>
      </c>
      <c r="G979" s="11" t="n">
        <v>25</v>
      </c>
      <c r="H979" s="12">
        <f>IF(F979=0,"",G979/F979)</f>
        <v/>
      </c>
    </row>
    <row r="980">
      <c r="A980" s="7" t="inlineStr">
        <is>
          <t>Simulado 02</t>
        </is>
      </c>
      <c r="B980" s="8" t="n">
        <v>13</v>
      </c>
      <c r="C980" s="8" t="inlineStr">
        <is>
          <t>11ª Fase</t>
        </is>
      </c>
      <c r="D980" s="8" t="inlineStr">
        <is>
          <t>C</t>
        </is>
      </c>
      <c r="E980" s="8" t="inlineStr">
        <is>
          <t>Não</t>
        </is>
      </c>
      <c r="F980" s="8" t="n">
        <v>29</v>
      </c>
      <c r="G980" s="8" t="n">
        <v>0</v>
      </c>
      <c r="H980" s="9">
        <f>IF(F980=0,"",G980/F980)</f>
        <v/>
      </c>
    </row>
    <row r="981">
      <c r="A981" s="10" t="inlineStr">
        <is>
          <t>Simulado 02</t>
        </is>
      </c>
      <c r="B981" s="11" t="n">
        <v>13</v>
      </c>
      <c r="C981" s="11" t="inlineStr">
        <is>
          <t>11ª Fase</t>
        </is>
      </c>
      <c r="D981" s="11" t="inlineStr">
        <is>
          <t>D</t>
        </is>
      </c>
      <c r="E981" s="11" t="inlineStr">
        <is>
          <t>Não</t>
        </is>
      </c>
      <c r="F981" s="11" t="n">
        <v>29</v>
      </c>
      <c r="G981" s="11" t="n">
        <v>2</v>
      </c>
      <c r="H981" s="12">
        <f>IF(F981=0,"",G981/F981)</f>
        <v/>
      </c>
    </row>
    <row r="982">
      <c r="A982" s="7" t="inlineStr">
        <is>
          <t>Simulado 02</t>
        </is>
      </c>
      <c r="B982" s="8" t="n">
        <v>14</v>
      </c>
      <c r="C982" s="8" t="inlineStr">
        <is>
          <t>6ª Fase</t>
        </is>
      </c>
      <c r="D982" s="8" t="inlineStr">
        <is>
          <t>A</t>
        </is>
      </c>
      <c r="E982" s="8" t="inlineStr">
        <is>
          <t>Sim</t>
        </is>
      </c>
      <c r="F982" s="8" t="n">
        <v>28</v>
      </c>
      <c r="G982" s="8" t="n">
        <v>14</v>
      </c>
      <c r="H982" s="9">
        <f>IF(F982=0,"",G982/F982)</f>
        <v/>
      </c>
    </row>
    <row r="983">
      <c r="A983" s="10" t="inlineStr">
        <is>
          <t>Simulado 02</t>
        </is>
      </c>
      <c r="B983" s="11" t="n">
        <v>14</v>
      </c>
      <c r="C983" s="11" t="inlineStr">
        <is>
          <t>6ª Fase</t>
        </is>
      </c>
      <c r="D983" s="11" t="inlineStr">
        <is>
          <t>B</t>
        </is>
      </c>
      <c r="E983" s="11" t="inlineStr">
        <is>
          <t>Não</t>
        </is>
      </c>
      <c r="F983" s="11" t="n">
        <v>28</v>
      </c>
      <c r="G983" s="11" t="n">
        <v>7</v>
      </c>
      <c r="H983" s="12">
        <f>IF(F983=0,"",G983/F983)</f>
        <v/>
      </c>
    </row>
    <row r="984">
      <c r="A984" s="7" t="inlineStr">
        <is>
          <t>Simulado 02</t>
        </is>
      </c>
      <c r="B984" s="8" t="n">
        <v>14</v>
      </c>
      <c r="C984" s="8" t="inlineStr">
        <is>
          <t>6ª Fase</t>
        </is>
      </c>
      <c r="D984" s="8" t="inlineStr">
        <is>
          <t>C</t>
        </is>
      </c>
      <c r="E984" s="8" t="inlineStr">
        <is>
          <t>Não</t>
        </is>
      </c>
      <c r="F984" s="8" t="n">
        <v>28</v>
      </c>
      <c r="G984" s="8" t="n">
        <v>0</v>
      </c>
      <c r="H984" s="9">
        <f>IF(F984=0,"",G984/F984)</f>
        <v/>
      </c>
    </row>
    <row r="985">
      <c r="A985" s="10" t="inlineStr">
        <is>
          <t>Simulado 02</t>
        </is>
      </c>
      <c r="B985" s="11" t="n">
        <v>14</v>
      </c>
      <c r="C985" s="11" t="inlineStr">
        <is>
          <t>6ª Fase</t>
        </is>
      </c>
      <c r="D985" s="11" t="inlineStr">
        <is>
          <t>D</t>
        </is>
      </c>
      <c r="E985" s="11" t="inlineStr">
        <is>
          <t>Não</t>
        </is>
      </c>
      <c r="F985" s="11" t="n">
        <v>28</v>
      </c>
      <c r="G985" s="11" t="n">
        <v>7</v>
      </c>
      <c r="H985" s="12">
        <f>IF(F985=0,"",G985/F985)</f>
        <v/>
      </c>
    </row>
    <row r="986">
      <c r="A986" s="7" t="inlineStr">
        <is>
          <t>Simulado 02</t>
        </is>
      </c>
      <c r="B986" s="8" t="n">
        <v>14</v>
      </c>
      <c r="C986" s="8" t="inlineStr">
        <is>
          <t>7ª Fase</t>
        </is>
      </c>
      <c r="D986" s="8" t="inlineStr">
        <is>
          <t>A</t>
        </is>
      </c>
      <c r="E986" s="8" t="inlineStr">
        <is>
          <t>Sim</t>
        </is>
      </c>
      <c r="F986" s="8" t="n">
        <v>32</v>
      </c>
      <c r="G986" s="8" t="n">
        <v>21</v>
      </c>
      <c r="H986" s="9">
        <f>IF(F986=0,"",G986/F986)</f>
        <v/>
      </c>
    </row>
    <row r="987">
      <c r="A987" s="10" t="inlineStr">
        <is>
          <t>Simulado 02</t>
        </is>
      </c>
      <c r="B987" s="11" t="n">
        <v>14</v>
      </c>
      <c r="C987" s="11" t="inlineStr">
        <is>
          <t>7ª Fase</t>
        </is>
      </c>
      <c r="D987" s="11" t="inlineStr">
        <is>
          <t>B</t>
        </is>
      </c>
      <c r="E987" s="11" t="inlineStr">
        <is>
          <t>Não</t>
        </is>
      </c>
      <c r="F987" s="11" t="n">
        <v>32</v>
      </c>
      <c r="G987" s="11" t="n">
        <v>8</v>
      </c>
      <c r="H987" s="12">
        <f>IF(F987=0,"",G987/F987)</f>
        <v/>
      </c>
    </row>
    <row r="988">
      <c r="A988" s="7" t="inlineStr">
        <is>
          <t>Simulado 02</t>
        </is>
      </c>
      <c r="B988" s="8" t="n">
        <v>14</v>
      </c>
      <c r="C988" s="8" t="inlineStr">
        <is>
          <t>7ª Fase</t>
        </is>
      </c>
      <c r="D988" s="8" t="inlineStr">
        <is>
          <t>C</t>
        </is>
      </c>
      <c r="E988" s="8" t="inlineStr">
        <is>
          <t>Não</t>
        </is>
      </c>
      <c r="F988" s="8" t="n">
        <v>32</v>
      </c>
      <c r="G988" s="8" t="n">
        <v>0</v>
      </c>
      <c r="H988" s="9">
        <f>IF(F988=0,"",G988/F988)</f>
        <v/>
      </c>
    </row>
    <row r="989">
      <c r="A989" s="10" t="inlineStr">
        <is>
          <t>Simulado 02</t>
        </is>
      </c>
      <c r="B989" s="11" t="n">
        <v>14</v>
      </c>
      <c r="C989" s="11" t="inlineStr">
        <is>
          <t>7ª Fase</t>
        </is>
      </c>
      <c r="D989" s="11" t="inlineStr">
        <is>
          <t>D</t>
        </is>
      </c>
      <c r="E989" s="11" t="inlineStr">
        <is>
          <t>Não</t>
        </is>
      </c>
      <c r="F989" s="11" t="n">
        <v>32</v>
      </c>
      <c r="G989" s="11" t="n">
        <v>3</v>
      </c>
      <c r="H989" s="12">
        <f>IF(F989=0,"",G989/F989)</f>
        <v/>
      </c>
    </row>
    <row r="990">
      <c r="A990" s="7" t="inlineStr">
        <is>
          <t>Simulado 02</t>
        </is>
      </c>
      <c r="B990" s="8" t="n">
        <v>14</v>
      </c>
      <c r="C990" s="8" t="inlineStr">
        <is>
          <t>10ª Fase</t>
        </is>
      </c>
      <c r="D990" s="8" t="inlineStr">
        <is>
          <t>A</t>
        </is>
      </c>
      <c r="E990" s="8" t="inlineStr">
        <is>
          <t>Sim</t>
        </is>
      </c>
      <c r="F990" s="8" t="n">
        <v>31</v>
      </c>
      <c r="G990" s="8" t="n">
        <v>27</v>
      </c>
      <c r="H990" s="9">
        <f>IF(F990=0,"",G990/F990)</f>
        <v/>
      </c>
    </row>
    <row r="991">
      <c r="A991" s="10" t="inlineStr">
        <is>
          <t>Simulado 02</t>
        </is>
      </c>
      <c r="B991" s="11" t="n">
        <v>14</v>
      </c>
      <c r="C991" s="11" t="inlineStr">
        <is>
          <t>10ª Fase</t>
        </is>
      </c>
      <c r="D991" s="11" t="inlineStr">
        <is>
          <t>B</t>
        </is>
      </c>
      <c r="E991" s="11" t="inlineStr">
        <is>
          <t>Não</t>
        </is>
      </c>
      <c r="F991" s="11" t="n">
        <v>31</v>
      </c>
      <c r="G991" s="11" t="n">
        <v>2</v>
      </c>
      <c r="H991" s="12">
        <f>IF(F991=0,"",G991/F991)</f>
        <v/>
      </c>
    </row>
    <row r="992">
      <c r="A992" s="7" t="inlineStr">
        <is>
          <t>Simulado 02</t>
        </is>
      </c>
      <c r="B992" s="8" t="n">
        <v>14</v>
      </c>
      <c r="C992" s="8" t="inlineStr">
        <is>
          <t>10ª Fase</t>
        </is>
      </c>
      <c r="D992" s="8" t="inlineStr">
        <is>
          <t>C</t>
        </is>
      </c>
      <c r="E992" s="8" t="inlineStr">
        <is>
          <t>Não</t>
        </is>
      </c>
      <c r="F992" s="8" t="n">
        <v>31</v>
      </c>
      <c r="G992" s="8" t="n">
        <v>0</v>
      </c>
      <c r="H992" s="9">
        <f>IF(F992=0,"",G992/F992)</f>
        <v/>
      </c>
    </row>
    <row r="993">
      <c r="A993" s="10" t="inlineStr">
        <is>
          <t>Simulado 02</t>
        </is>
      </c>
      <c r="B993" s="11" t="n">
        <v>14</v>
      </c>
      <c r="C993" s="11" t="inlineStr">
        <is>
          <t>10ª Fase</t>
        </is>
      </c>
      <c r="D993" s="11" t="inlineStr">
        <is>
          <t>D</t>
        </is>
      </c>
      <c r="E993" s="11" t="inlineStr">
        <is>
          <t>Não</t>
        </is>
      </c>
      <c r="F993" s="11" t="n">
        <v>31</v>
      </c>
      <c r="G993" s="11" t="n">
        <v>2</v>
      </c>
      <c r="H993" s="12">
        <f>IF(F993=0,"",G993/F993)</f>
        <v/>
      </c>
    </row>
    <row r="994">
      <c r="A994" s="7" t="inlineStr">
        <is>
          <t>Simulado 02</t>
        </is>
      </c>
      <c r="B994" s="8" t="n">
        <v>14</v>
      </c>
      <c r="C994" s="8" t="inlineStr">
        <is>
          <t>11ª Fase</t>
        </is>
      </c>
      <c r="D994" s="8" t="inlineStr">
        <is>
          <t>A</t>
        </is>
      </c>
      <c r="E994" s="8" t="inlineStr">
        <is>
          <t>Sim</t>
        </is>
      </c>
      <c r="F994" s="8" t="n">
        <v>29</v>
      </c>
      <c r="G994" s="8" t="n">
        <v>26</v>
      </c>
      <c r="H994" s="9">
        <f>IF(F994=0,"",G994/F994)</f>
        <v/>
      </c>
    </row>
    <row r="995">
      <c r="A995" s="10" t="inlineStr">
        <is>
          <t>Simulado 02</t>
        </is>
      </c>
      <c r="B995" s="11" t="n">
        <v>14</v>
      </c>
      <c r="C995" s="11" t="inlineStr">
        <is>
          <t>11ª Fase</t>
        </is>
      </c>
      <c r="D995" s="11" t="inlineStr">
        <is>
          <t>B</t>
        </is>
      </c>
      <c r="E995" s="11" t="inlineStr">
        <is>
          <t>Não</t>
        </is>
      </c>
      <c r="F995" s="11" t="n">
        <v>29</v>
      </c>
      <c r="G995" s="11" t="n">
        <v>1</v>
      </c>
      <c r="H995" s="12">
        <f>IF(F995=0,"",G995/F995)</f>
        <v/>
      </c>
    </row>
    <row r="996">
      <c r="A996" s="7" t="inlineStr">
        <is>
          <t>Simulado 02</t>
        </is>
      </c>
      <c r="B996" s="8" t="n">
        <v>14</v>
      </c>
      <c r="C996" s="8" t="inlineStr">
        <is>
          <t>11ª Fase</t>
        </is>
      </c>
      <c r="D996" s="8" t="inlineStr">
        <is>
          <t>C</t>
        </is>
      </c>
      <c r="E996" s="8" t="inlineStr">
        <is>
          <t>Não</t>
        </is>
      </c>
      <c r="F996" s="8" t="n">
        <v>29</v>
      </c>
      <c r="G996" s="8" t="n">
        <v>0</v>
      </c>
      <c r="H996" s="9">
        <f>IF(F996=0,"",G996/F996)</f>
        <v/>
      </c>
    </row>
    <row r="997">
      <c r="A997" s="10" t="inlineStr">
        <is>
          <t>Simulado 02</t>
        </is>
      </c>
      <c r="B997" s="11" t="n">
        <v>14</v>
      </c>
      <c r="C997" s="11" t="inlineStr">
        <is>
          <t>11ª Fase</t>
        </is>
      </c>
      <c r="D997" s="11" t="inlineStr">
        <is>
          <t>D</t>
        </is>
      </c>
      <c r="E997" s="11" t="inlineStr">
        <is>
          <t>Não</t>
        </is>
      </c>
      <c r="F997" s="11" t="n">
        <v>29</v>
      </c>
      <c r="G997" s="11" t="n">
        <v>2</v>
      </c>
      <c r="H997" s="12">
        <f>IF(F997=0,"",G997/F997)</f>
        <v/>
      </c>
    </row>
    <row r="998">
      <c r="A998" s="7" t="inlineStr">
        <is>
          <t>Simulado 02</t>
        </is>
      </c>
      <c r="B998" s="8" t="n">
        <v>15</v>
      </c>
      <c r="C998" s="8" t="inlineStr">
        <is>
          <t>6ª Fase</t>
        </is>
      </c>
      <c r="D998" s="8" t="inlineStr">
        <is>
          <t>A</t>
        </is>
      </c>
      <c r="E998" s="8" t="inlineStr">
        <is>
          <t>Não</t>
        </is>
      </c>
      <c r="F998" s="8" t="n">
        <v>28</v>
      </c>
      <c r="G998" s="8" t="n">
        <v>4</v>
      </c>
      <c r="H998" s="9">
        <f>IF(F998=0,"",G998/F998)</f>
        <v/>
      </c>
    </row>
    <row r="999">
      <c r="A999" s="10" t="inlineStr">
        <is>
          <t>Simulado 02</t>
        </is>
      </c>
      <c r="B999" s="11" t="n">
        <v>15</v>
      </c>
      <c r="C999" s="11" t="inlineStr">
        <is>
          <t>6ª Fase</t>
        </is>
      </c>
      <c r="D999" s="11" t="inlineStr">
        <is>
          <t>B</t>
        </is>
      </c>
      <c r="E999" s="11" t="inlineStr">
        <is>
          <t>Sim</t>
        </is>
      </c>
      <c r="F999" s="11" t="n">
        <v>28</v>
      </c>
      <c r="G999" s="11" t="n">
        <v>22</v>
      </c>
      <c r="H999" s="12">
        <f>IF(F999=0,"",G999/F999)</f>
        <v/>
      </c>
    </row>
    <row r="1000">
      <c r="A1000" s="7" t="inlineStr">
        <is>
          <t>Simulado 02</t>
        </is>
      </c>
      <c r="B1000" s="8" t="n">
        <v>15</v>
      </c>
      <c r="C1000" s="8" t="inlineStr">
        <is>
          <t>6ª Fase</t>
        </is>
      </c>
      <c r="D1000" s="8" t="inlineStr">
        <is>
          <t>C</t>
        </is>
      </c>
      <c r="E1000" s="8" t="inlineStr">
        <is>
          <t>Não</t>
        </is>
      </c>
      <c r="F1000" s="8" t="n">
        <v>28</v>
      </c>
      <c r="G1000" s="8" t="n">
        <v>1</v>
      </c>
      <c r="H1000" s="9">
        <f>IF(F1000=0,"",G1000/F1000)</f>
        <v/>
      </c>
    </row>
    <row r="1001">
      <c r="A1001" s="10" t="inlineStr">
        <is>
          <t>Simulado 02</t>
        </is>
      </c>
      <c r="B1001" s="11" t="n">
        <v>15</v>
      </c>
      <c r="C1001" s="11" t="inlineStr">
        <is>
          <t>6ª Fase</t>
        </is>
      </c>
      <c r="D1001" s="11" t="inlineStr">
        <is>
          <t>D</t>
        </is>
      </c>
      <c r="E1001" s="11" t="inlineStr">
        <is>
          <t>Não</t>
        </is>
      </c>
      <c r="F1001" s="11" t="n">
        <v>28</v>
      </c>
      <c r="G1001" s="11" t="n">
        <v>1</v>
      </c>
      <c r="H1001" s="12">
        <f>IF(F1001=0,"",G1001/F1001)</f>
        <v/>
      </c>
    </row>
    <row r="1002">
      <c r="A1002" s="7" t="inlineStr">
        <is>
          <t>Simulado 02</t>
        </is>
      </c>
      <c r="B1002" s="8" t="n">
        <v>15</v>
      </c>
      <c r="C1002" s="8" t="inlineStr">
        <is>
          <t>7ª Fase</t>
        </is>
      </c>
      <c r="D1002" s="8" t="inlineStr">
        <is>
          <t>A</t>
        </is>
      </c>
      <c r="E1002" s="8" t="inlineStr">
        <is>
          <t>Não</t>
        </is>
      </c>
      <c r="F1002" s="8" t="n">
        <v>32</v>
      </c>
      <c r="G1002" s="8" t="n">
        <v>5</v>
      </c>
      <c r="H1002" s="9">
        <f>IF(F1002=0,"",G1002/F1002)</f>
        <v/>
      </c>
    </row>
    <row r="1003">
      <c r="A1003" s="10" t="inlineStr">
        <is>
          <t>Simulado 02</t>
        </is>
      </c>
      <c r="B1003" s="11" t="n">
        <v>15</v>
      </c>
      <c r="C1003" s="11" t="inlineStr">
        <is>
          <t>7ª Fase</t>
        </is>
      </c>
      <c r="D1003" s="11" t="inlineStr">
        <is>
          <t>B</t>
        </is>
      </c>
      <c r="E1003" s="11" t="inlineStr">
        <is>
          <t>Sim</t>
        </is>
      </c>
      <c r="F1003" s="11" t="n">
        <v>32</v>
      </c>
      <c r="G1003" s="11" t="n">
        <v>22</v>
      </c>
      <c r="H1003" s="12">
        <f>IF(F1003=0,"",G1003/F1003)</f>
        <v/>
      </c>
    </row>
    <row r="1004">
      <c r="A1004" s="7" t="inlineStr">
        <is>
          <t>Simulado 02</t>
        </is>
      </c>
      <c r="B1004" s="8" t="n">
        <v>15</v>
      </c>
      <c r="C1004" s="8" t="inlineStr">
        <is>
          <t>7ª Fase</t>
        </is>
      </c>
      <c r="D1004" s="8" t="inlineStr">
        <is>
          <t>C</t>
        </is>
      </c>
      <c r="E1004" s="8" t="inlineStr">
        <is>
          <t>Não</t>
        </is>
      </c>
      <c r="F1004" s="8" t="n">
        <v>32</v>
      </c>
      <c r="G1004" s="8" t="n">
        <v>0</v>
      </c>
      <c r="H1004" s="9">
        <f>IF(F1004=0,"",G1004/F1004)</f>
        <v/>
      </c>
    </row>
    <row r="1005">
      <c r="A1005" s="10" t="inlineStr">
        <is>
          <t>Simulado 02</t>
        </is>
      </c>
      <c r="B1005" s="11" t="n">
        <v>15</v>
      </c>
      <c r="C1005" s="11" t="inlineStr">
        <is>
          <t>7ª Fase</t>
        </is>
      </c>
      <c r="D1005" s="11" t="inlineStr">
        <is>
          <t>D</t>
        </is>
      </c>
      <c r="E1005" s="11" t="inlineStr">
        <is>
          <t>Não</t>
        </is>
      </c>
      <c r="F1005" s="11" t="n">
        <v>32</v>
      </c>
      <c r="G1005" s="11" t="n">
        <v>5</v>
      </c>
      <c r="H1005" s="12">
        <f>IF(F1005=0,"",G1005/F1005)</f>
        <v/>
      </c>
    </row>
    <row r="1006">
      <c r="A1006" s="7" t="inlineStr">
        <is>
          <t>Simulado 02</t>
        </is>
      </c>
      <c r="B1006" s="8" t="n">
        <v>15</v>
      </c>
      <c r="C1006" s="8" t="inlineStr">
        <is>
          <t>10ª Fase</t>
        </is>
      </c>
      <c r="D1006" s="8" t="inlineStr">
        <is>
          <t>A</t>
        </is>
      </c>
      <c r="E1006" s="8" t="inlineStr">
        <is>
          <t>Não</t>
        </is>
      </c>
      <c r="F1006" s="8" t="n">
        <v>31</v>
      </c>
      <c r="G1006" s="8" t="n">
        <v>5</v>
      </c>
      <c r="H1006" s="9">
        <f>IF(F1006=0,"",G1006/F1006)</f>
        <v/>
      </c>
    </row>
    <row r="1007">
      <c r="A1007" s="10" t="inlineStr">
        <is>
          <t>Simulado 02</t>
        </is>
      </c>
      <c r="B1007" s="11" t="n">
        <v>15</v>
      </c>
      <c r="C1007" s="11" t="inlineStr">
        <is>
          <t>10ª Fase</t>
        </is>
      </c>
      <c r="D1007" s="11" t="inlineStr">
        <is>
          <t>B</t>
        </is>
      </c>
      <c r="E1007" s="11" t="inlineStr">
        <is>
          <t>Sim</t>
        </is>
      </c>
      <c r="F1007" s="11" t="n">
        <v>31</v>
      </c>
      <c r="G1007" s="11" t="n">
        <v>22</v>
      </c>
      <c r="H1007" s="12">
        <f>IF(F1007=0,"",G1007/F1007)</f>
        <v/>
      </c>
    </row>
    <row r="1008">
      <c r="A1008" s="7" t="inlineStr">
        <is>
          <t>Simulado 02</t>
        </is>
      </c>
      <c r="B1008" s="8" t="n">
        <v>15</v>
      </c>
      <c r="C1008" s="8" t="inlineStr">
        <is>
          <t>10ª Fase</t>
        </is>
      </c>
      <c r="D1008" s="8" t="inlineStr">
        <is>
          <t>C</t>
        </is>
      </c>
      <c r="E1008" s="8" t="inlineStr">
        <is>
          <t>Não</t>
        </is>
      </c>
      <c r="F1008" s="8" t="n">
        <v>31</v>
      </c>
      <c r="G1008" s="8" t="n">
        <v>0</v>
      </c>
      <c r="H1008" s="9">
        <f>IF(F1008=0,"",G1008/F1008)</f>
        <v/>
      </c>
    </row>
    <row r="1009">
      <c r="A1009" s="10" t="inlineStr">
        <is>
          <t>Simulado 02</t>
        </is>
      </c>
      <c r="B1009" s="11" t="n">
        <v>15</v>
      </c>
      <c r="C1009" s="11" t="inlineStr">
        <is>
          <t>10ª Fase</t>
        </is>
      </c>
      <c r="D1009" s="11" t="inlineStr">
        <is>
          <t>D</t>
        </is>
      </c>
      <c r="E1009" s="11" t="inlineStr">
        <is>
          <t>Não</t>
        </is>
      </c>
      <c r="F1009" s="11" t="n">
        <v>31</v>
      </c>
      <c r="G1009" s="11" t="n">
        <v>4</v>
      </c>
      <c r="H1009" s="12">
        <f>IF(F1009=0,"",G1009/F1009)</f>
        <v/>
      </c>
    </row>
    <row r="1010">
      <c r="A1010" s="7" t="inlineStr">
        <is>
          <t>Simulado 02</t>
        </is>
      </c>
      <c r="B1010" s="8" t="n">
        <v>15</v>
      </c>
      <c r="C1010" s="8" t="inlineStr">
        <is>
          <t>11ª Fase</t>
        </is>
      </c>
      <c r="D1010" s="8" t="inlineStr">
        <is>
          <t>A</t>
        </is>
      </c>
      <c r="E1010" s="8" t="inlineStr">
        <is>
          <t>Não</t>
        </is>
      </c>
      <c r="F1010" s="8" t="n">
        <v>29</v>
      </c>
      <c r="G1010" s="8" t="n">
        <v>12</v>
      </c>
      <c r="H1010" s="9">
        <f>IF(F1010=0,"",G1010/F1010)</f>
        <v/>
      </c>
    </row>
    <row r="1011">
      <c r="A1011" s="10" t="inlineStr">
        <is>
          <t>Simulado 02</t>
        </is>
      </c>
      <c r="B1011" s="11" t="n">
        <v>15</v>
      </c>
      <c r="C1011" s="11" t="inlineStr">
        <is>
          <t>11ª Fase</t>
        </is>
      </c>
      <c r="D1011" s="11" t="inlineStr">
        <is>
          <t>B</t>
        </is>
      </c>
      <c r="E1011" s="11" t="inlineStr">
        <is>
          <t>Sim</t>
        </is>
      </c>
      <c r="F1011" s="11" t="n">
        <v>29</v>
      </c>
      <c r="G1011" s="11" t="n">
        <v>17</v>
      </c>
      <c r="H1011" s="12">
        <f>IF(F1011=0,"",G1011/F1011)</f>
        <v/>
      </c>
    </row>
    <row r="1012">
      <c r="A1012" s="7" t="inlineStr">
        <is>
          <t>Simulado 02</t>
        </is>
      </c>
      <c r="B1012" s="8" t="n">
        <v>15</v>
      </c>
      <c r="C1012" s="8" t="inlineStr">
        <is>
          <t>11ª Fase</t>
        </is>
      </c>
      <c r="D1012" s="8" t="inlineStr">
        <is>
          <t>C</t>
        </is>
      </c>
      <c r="E1012" s="8" t="inlineStr">
        <is>
          <t>Não</t>
        </is>
      </c>
      <c r="F1012" s="8" t="n">
        <v>29</v>
      </c>
      <c r="G1012" s="8" t="n">
        <v>0</v>
      </c>
      <c r="H1012" s="9">
        <f>IF(F1012=0,"",G1012/F1012)</f>
        <v/>
      </c>
    </row>
    <row r="1013">
      <c r="A1013" s="10" t="inlineStr">
        <is>
          <t>Simulado 02</t>
        </is>
      </c>
      <c r="B1013" s="11" t="n">
        <v>15</v>
      </c>
      <c r="C1013" s="11" t="inlineStr">
        <is>
          <t>11ª Fase</t>
        </is>
      </c>
      <c r="D1013" s="11" t="inlineStr">
        <is>
          <t>D</t>
        </is>
      </c>
      <c r="E1013" s="11" t="inlineStr">
        <is>
          <t>Não</t>
        </is>
      </c>
      <c r="F1013" s="11" t="n">
        <v>29</v>
      </c>
      <c r="G1013" s="11" t="n">
        <v>0</v>
      </c>
      <c r="H1013" s="12">
        <f>IF(F1013=0,"",G1013/F1013)</f>
        <v/>
      </c>
    </row>
    <row r="1014">
      <c r="A1014" s="7" t="inlineStr">
        <is>
          <t>Simulado 02</t>
        </is>
      </c>
      <c r="B1014" s="8" t="n">
        <v>16</v>
      </c>
      <c r="C1014" s="8" t="inlineStr">
        <is>
          <t>6ª Fase</t>
        </is>
      </c>
      <c r="D1014" s="8" t="inlineStr">
        <is>
          <t>A</t>
        </is>
      </c>
      <c r="E1014" s="8" t="inlineStr">
        <is>
          <t>Não</t>
        </is>
      </c>
      <c r="F1014" s="8" t="n">
        <v>28</v>
      </c>
      <c r="G1014" s="8" t="n">
        <v>2</v>
      </c>
      <c r="H1014" s="9">
        <f>IF(F1014=0,"",G1014/F1014)</f>
        <v/>
      </c>
    </row>
    <row r="1015">
      <c r="A1015" s="10" t="inlineStr">
        <is>
          <t>Simulado 02</t>
        </is>
      </c>
      <c r="B1015" s="11" t="n">
        <v>16</v>
      </c>
      <c r="C1015" s="11" t="inlineStr">
        <is>
          <t>6ª Fase</t>
        </is>
      </c>
      <c r="D1015" s="11" t="inlineStr">
        <is>
          <t>B</t>
        </is>
      </c>
      <c r="E1015" s="11" t="inlineStr">
        <is>
          <t>Sim</t>
        </is>
      </c>
      <c r="F1015" s="11" t="n">
        <v>28</v>
      </c>
      <c r="G1015" s="11" t="n">
        <v>8</v>
      </c>
      <c r="H1015" s="12">
        <f>IF(F1015=0,"",G1015/F1015)</f>
        <v/>
      </c>
    </row>
    <row r="1016">
      <c r="A1016" s="7" t="inlineStr">
        <is>
          <t>Simulado 02</t>
        </is>
      </c>
      <c r="B1016" s="8" t="n">
        <v>16</v>
      </c>
      <c r="C1016" s="8" t="inlineStr">
        <is>
          <t>6ª Fase</t>
        </is>
      </c>
      <c r="D1016" s="8" t="inlineStr">
        <is>
          <t>C</t>
        </is>
      </c>
      <c r="E1016" s="8" t="inlineStr">
        <is>
          <t>Não</t>
        </is>
      </c>
      <c r="F1016" s="8" t="n">
        <v>28</v>
      </c>
      <c r="G1016" s="8" t="n">
        <v>16</v>
      </c>
      <c r="H1016" s="9">
        <f>IF(F1016=0,"",G1016/F1016)</f>
        <v/>
      </c>
    </row>
    <row r="1017">
      <c r="A1017" s="10" t="inlineStr">
        <is>
          <t>Simulado 02</t>
        </is>
      </c>
      <c r="B1017" s="11" t="n">
        <v>16</v>
      </c>
      <c r="C1017" s="11" t="inlineStr">
        <is>
          <t>6ª Fase</t>
        </is>
      </c>
      <c r="D1017" s="11" t="inlineStr">
        <is>
          <t>D</t>
        </is>
      </c>
      <c r="E1017" s="11" t="inlineStr">
        <is>
          <t>Não</t>
        </is>
      </c>
      <c r="F1017" s="11" t="n">
        <v>28</v>
      </c>
      <c r="G1017" s="11" t="n">
        <v>2</v>
      </c>
      <c r="H1017" s="12">
        <f>IF(F1017=0,"",G1017/F1017)</f>
        <v/>
      </c>
    </row>
    <row r="1018">
      <c r="A1018" s="7" t="inlineStr">
        <is>
          <t>Simulado 02</t>
        </is>
      </c>
      <c r="B1018" s="8" t="n">
        <v>16</v>
      </c>
      <c r="C1018" s="8" t="inlineStr">
        <is>
          <t>7ª Fase</t>
        </is>
      </c>
      <c r="D1018" s="8" t="inlineStr">
        <is>
          <t>A</t>
        </is>
      </c>
      <c r="E1018" s="8" t="inlineStr">
        <is>
          <t>Não</t>
        </is>
      </c>
      <c r="F1018" s="8" t="n">
        <v>32</v>
      </c>
      <c r="G1018" s="8" t="n">
        <v>1</v>
      </c>
      <c r="H1018" s="9">
        <f>IF(F1018=0,"",G1018/F1018)</f>
        <v/>
      </c>
    </row>
    <row r="1019">
      <c r="A1019" s="10" t="inlineStr">
        <is>
          <t>Simulado 02</t>
        </is>
      </c>
      <c r="B1019" s="11" t="n">
        <v>16</v>
      </c>
      <c r="C1019" s="11" t="inlineStr">
        <is>
          <t>7ª Fase</t>
        </is>
      </c>
      <c r="D1019" s="11" t="inlineStr">
        <is>
          <t>B</t>
        </is>
      </c>
      <c r="E1019" s="11" t="inlineStr">
        <is>
          <t>Sim</t>
        </is>
      </c>
      <c r="F1019" s="11" t="n">
        <v>32</v>
      </c>
      <c r="G1019" s="11" t="n">
        <v>4</v>
      </c>
      <c r="H1019" s="12">
        <f>IF(F1019=0,"",G1019/F1019)</f>
        <v/>
      </c>
    </row>
    <row r="1020">
      <c r="A1020" s="7" t="inlineStr">
        <is>
          <t>Simulado 02</t>
        </is>
      </c>
      <c r="B1020" s="8" t="n">
        <v>16</v>
      </c>
      <c r="C1020" s="8" t="inlineStr">
        <is>
          <t>7ª Fase</t>
        </is>
      </c>
      <c r="D1020" s="8" t="inlineStr">
        <is>
          <t>C</t>
        </is>
      </c>
      <c r="E1020" s="8" t="inlineStr">
        <is>
          <t>Não</t>
        </is>
      </c>
      <c r="F1020" s="8" t="n">
        <v>32</v>
      </c>
      <c r="G1020" s="8" t="n">
        <v>26</v>
      </c>
      <c r="H1020" s="9">
        <f>IF(F1020=0,"",G1020/F1020)</f>
        <v/>
      </c>
    </row>
    <row r="1021">
      <c r="A1021" s="10" t="inlineStr">
        <is>
          <t>Simulado 02</t>
        </is>
      </c>
      <c r="B1021" s="11" t="n">
        <v>16</v>
      </c>
      <c r="C1021" s="11" t="inlineStr">
        <is>
          <t>7ª Fase</t>
        </is>
      </c>
      <c r="D1021" s="11" t="inlineStr">
        <is>
          <t>D</t>
        </is>
      </c>
      <c r="E1021" s="11" t="inlineStr">
        <is>
          <t>Não</t>
        </is>
      </c>
      <c r="F1021" s="11" t="n">
        <v>32</v>
      </c>
      <c r="G1021" s="11" t="n">
        <v>1</v>
      </c>
      <c r="H1021" s="12">
        <f>IF(F1021=0,"",G1021/F1021)</f>
        <v/>
      </c>
    </row>
    <row r="1022">
      <c r="A1022" s="7" t="inlineStr">
        <is>
          <t>Simulado 02</t>
        </is>
      </c>
      <c r="B1022" s="8" t="n">
        <v>16</v>
      </c>
      <c r="C1022" s="8" t="inlineStr">
        <is>
          <t>10ª Fase</t>
        </is>
      </c>
      <c r="D1022" s="8" t="inlineStr">
        <is>
          <t>A</t>
        </is>
      </c>
      <c r="E1022" s="8" t="inlineStr">
        <is>
          <t>Não</t>
        </is>
      </c>
      <c r="F1022" s="8" t="n">
        <v>31</v>
      </c>
      <c r="G1022" s="8" t="n">
        <v>0</v>
      </c>
      <c r="H1022" s="9">
        <f>IF(F1022=0,"",G1022/F1022)</f>
        <v/>
      </c>
    </row>
    <row r="1023">
      <c r="A1023" s="10" t="inlineStr">
        <is>
          <t>Simulado 02</t>
        </is>
      </c>
      <c r="B1023" s="11" t="n">
        <v>16</v>
      </c>
      <c r="C1023" s="11" t="inlineStr">
        <is>
          <t>10ª Fase</t>
        </is>
      </c>
      <c r="D1023" s="11" t="inlineStr">
        <is>
          <t>B</t>
        </is>
      </c>
      <c r="E1023" s="11" t="inlineStr">
        <is>
          <t>Sim</t>
        </is>
      </c>
      <c r="F1023" s="11" t="n">
        <v>31</v>
      </c>
      <c r="G1023" s="11" t="n">
        <v>8</v>
      </c>
      <c r="H1023" s="12">
        <f>IF(F1023=0,"",G1023/F1023)</f>
        <v/>
      </c>
    </row>
    <row r="1024">
      <c r="A1024" s="7" t="inlineStr">
        <is>
          <t>Simulado 02</t>
        </is>
      </c>
      <c r="B1024" s="8" t="n">
        <v>16</v>
      </c>
      <c r="C1024" s="8" t="inlineStr">
        <is>
          <t>10ª Fase</t>
        </is>
      </c>
      <c r="D1024" s="8" t="inlineStr">
        <is>
          <t>C</t>
        </is>
      </c>
      <c r="E1024" s="8" t="inlineStr">
        <is>
          <t>Não</t>
        </is>
      </c>
      <c r="F1024" s="8" t="n">
        <v>31</v>
      </c>
      <c r="G1024" s="8" t="n">
        <v>23</v>
      </c>
      <c r="H1024" s="9">
        <f>IF(F1024=0,"",G1024/F1024)</f>
        <v/>
      </c>
    </row>
    <row r="1025">
      <c r="A1025" s="10" t="inlineStr">
        <is>
          <t>Simulado 02</t>
        </is>
      </c>
      <c r="B1025" s="11" t="n">
        <v>16</v>
      </c>
      <c r="C1025" s="11" t="inlineStr">
        <is>
          <t>10ª Fase</t>
        </is>
      </c>
      <c r="D1025" s="11" t="inlineStr">
        <is>
          <t>D</t>
        </is>
      </c>
      <c r="E1025" s="11" t="inlineStr">
        <is>
          <t>Não</t>
        </is>
      </c>
      <c r="F1025" s="11" t="n">
        <v>31</v>
      </c>
      <c r="G1025" s="11" t="n">
        <v>0</v>
      </c>
      <c r="H1025" s="12">
        <f>IF(F1025=0,"",G1025/F1025)</f>
        <v/>
      </c>
    </row>
    <row r="1026">
      <c r="A1026" s="7" t="inlineStr">
        <is>
          <t>Simulado 02</t>
        </is>
      </c>
      <c r="B1026" s="8" t="n">
        <v>16</v>
      </c>
      <c r="C1026" s="8" t="inlineStr">
        <is>
          <t>11ª Fase</t>
        </is>
      </c>
      <c r="D1026" s="8" t="inlineStr">
        <is>
          <t>A</t>
        </is>
      </c>
      <c r="E1026" s="8" t="inlineStr">
        <is>
          <t>Não</t>
        </is>
      </c>
      <c r="F1026" s="8" t="n">
        <v>29</v>
      </c>
      <c r="G1026" s="8" t="n">
        <v>0</v>
      </c>
      <c r="H1026" s="9">
        <f>IF(F1026=0,"",G1026/F1026)</f>
        <v/>
      </c>
    </row>
    <row r="1027">
      <c r="A1027" s="10" t="inlineStr">
        <is>
          <t>Simulado 02</t>
        </is>
      </c>
      <c r="B1027" s="11" t="n">
        <v>16</v>
      </c>
      <c r="C1027" s="11" t="inlineStr">
        <is>
          <t>11ª Fase</t>
        </is>
      </c>
      <c r="D1027" s="11" t="inlineStr">
        <is>
          <t>B</t>
        </is>
      </c>
      <c r="E1027" s="11" t="inlineStr">
        <is>
          <t>Sim</t>
        </is>
      </c>
      <c r="F1027" s="11" t="n">
        <v>29</v>
      </c>
      <c r="G1027" s="11" t="n">
        <v>5</v>
      </c>
      <c r="H1027" s="12">
        <f>IF(F1027=0,"",G1027/F1027)</f>
        <v/>
      </c>
    </row>
    <row r="1028">
      <c r="A1028" s="7" t="inlineStr">
        <is>
          <t>Simulado 02</t>
        </is>
      </c>
      <c r="B1028" s="8" t="n">
        <v>16</v>
      </c>
      <c r="C1028" s="8" t="inlineStr">
        <is>
          <t>11ª Fase</t>
        </is>
      </c>
      <c r="D1028" s="8" t="inlineStr">
        <is>
          <t>C</t>
        </is>
      </c>
      <c r="E1028" s="8" t="inlineStr">
        <is>
          <t>Não</t>
        </is>
      </c>
      <c r="F1028" s="8" t="n">
        <v>29</v>
      </c>
      <c r="G1028" s="8" t="n">
        <v>23</v>
      </c>
      <c r="H1028" s="9">
        <f>IF(F1028=0,"",G1028/F1028)</f>
        <v/>
      </c>
    </row>
    <row r="1029">
      <c r="A1029" s="10" t="inlineStr">
        <is>
          <t>Simulado 02</t>
        </is>
      </c>
      <c r="B1029" s="11" t="n">
        <v>16</v>
      </c>
      <c r="C1029" s="11" t="inlineStr">
        <is>
          <t>11ª Fase</t>
        </is>
      </c>
      <c r="D1029" s="11" t="inlineStr">
        <is>
          <t>D</t>
        </is>
      </c>
      <c r="E1029" s="11" t="inlineStr">
        <is>
          <t>Não</t>
        </is>
      </c>
      <c r="F1029" s="11" t="n">
        <v>29</v>
      </c>
      <c r="G1029" s="11" t="n">
        <v>1</v>
      </c>
      <c r="H1029" s="12">
        <f>IF(F1029=0,"",G1029/F1029)</f>
        <v/>
      </c>
    </row>
    <row r="1030">
      <c r="A1030" s="7" t="inlineStr">
        <is>
          <t>Simulado 02</t>
        </is>
      </c>
      <c r="B1030" s="8" t="n">
        <v>17</v>
      </c>
      <c r="C1030" s="8" t="inlineStr">
        <is>
          <t>6ª Fase</t>
        </is>
      </c>
      <c r="D1030" s="8" t="inlineStr">
        <is>
          <t>A</t>
        </is>
      </c>
      <c r="E1030" s="8" t="inlineStr">
        <is>
          <t>Sim</t>
        </is>
      </c>
      <c r="F1030" s="8" t="n">
        <v>28</v>
      </c>
      <c r="G1030" s="8" t="n">
        <v>13</v>
      </c>
      <c r="H1030" s="9">
        <f>IF(F1030=0,"",G1030/F1030)</f>
        <v/>
      </c>
    </row>
    <row r="1031">
      <c r="A1031" s="10" t="inlineStr">
        <is>
          <t>Simulado 02</t>
        </is>
      </c>
      <c r="B1031" s="11" t="n">
        <v>17</v>
      </c>
      <c r="C1031" s="11" t="inlineStr">
        <is>
          <t>6ª Fase</t>
        </is>
      </c>
      <c r="D1031" s="11" t="inlineStr">
        <is>
          <t>B</t>
        </is>
      </c>
      <c r="E1031" s="11" t="inlineStr">
        <is>
          <t>Não</t>
        </is>
      </c>
      <c r="F1031" s="11" t="n">
        <v>28</v>
      </c>
      <c r="G1031" s="11" t="n">
        <v>13</v>
      </c>
      <c r="H1031" s="12">
        <f>IF(F1031=0,"",G1031/F1031)</f>
        <v/>
      </c>
    </row>
    <row r="1032">
      <c r="A1032" s="7" t="inlineStr">
        <is>
          <t>Simulado 02</t>
        </is>
      </c>
      <c r="B1032" s="8" t="n">
        <v>17</v>
      </c>
      <c r="C1032" s="8" t="inlineStr">
        <is>
          <t>6ª Fase</t>
        </is>
      </c>
      <c r="D1032" s="8" t="inlineStr">
        <is>
          <t>C</t>
        </is>
      </c>
      <c r="E1032" s="8" t="inlineStr">
        <is>
          <t>Não</t>
        </is>
      </c>
      <c r="F1032" s="8" t="n">
        <v>28</v>
      </c>
      <c r="G1032" s="8" t="n">
        <v>1</v>
      </c>
      <c r="H1032" s="9">
        <f>IF(F1032=0,"",G1032/F1032)</f>
        <v/>
      </c>
    </row>
    <row r="1033">
      <c r="A1033" s="10" t="inlineStr">
        <is>
          <t>Simulado 02</t>
        </is>
      </c>
      <c r="B1033" s="11" t="n">
        <v>17</v>
      </c>
      <c r="C1033" s="11" t="inlineStr">
        <is>
          <t>6ª Fase</t>
        </is>
      </c>
      <c r="D1033" s="11" t="inlineStr">
        <is>
          <t>D</t>
        </is>
      </c>
      <c r="E1033" s="11" t="inlineStr">
        <is>
          <t>Não</t>
        </is>
      </c>
      <c r="F1033" s="11" t="n">
        <v>28</v>
      </c>
      <c r="G1033" s="11" t="n">
        <v>1</v>
      </c>
      <c r="H1033" s="12">
        <f>IF(F1033=0,"",G1033/F1033)</f>
        <v/>
      </c>
    </row>
    <row r="1034">
      <c r="A1034" s="7" t="inlineStr">
        <is>
          <t>Simulado 02</t>
        </is>
      </c>
      <c r="B1034" s="8" t="n">
        <v>17</v>
      </c>
      <c r="C1034" s="8" t="inlineStr">
        <is>
          <t>7ª Fase</t>
        </is>
      </c>
      <c r="D1034" s="8" t="inlineStr">
        <is>
          <t>A</t>
        </is>
      </c>
      <c r="E1034" s="8" t="inlineStr">
        <is>
          <t>Sim</t>
        </is>
      </c>
      <c r="F1034" s="8" t="n">
        <v>32</v>
      </c>
      <c r="G1034" s="8" t="n">
        <v>13</v>
      </c>
      <c r="H1034" s="9">
        <f>IF(F1034=0,"",G1034/F1034)</f>
        <v/>
      </c>
    </row>
    <row r="1035">
      <c r="A1035" s="10" t="inlineStr">
        <is>
          <t>Simulado 02</t>
        </is>
      </c>
      <c r="B1035" s="11" t="n">
        <v>17</v>
      </c>
      <c r="C1035" s="11" t="inlineStr">
        <is>
          <t>7ª Fase</t>
        </is>
      </c>
      <c r="D1035" s="11" t="inlineStr">
        <is>
          <t>B</t>
        </is>
      </c>
      <c r="E1035" s="11" t="inlineStr">
        <is>
          <t>Não</t>
        </is>
      </c>
      <c r="F1035" s="11" t="n">
        <v>32</v>
      </c>
      <c r="G1035" s="11" t="n">
        <v>15</v>
      </c>
      <c r="H1035" s="12">
        <f>IF(F1035=0,"",G1035/F1035)</f>
        <v/>
      </c>
    </row>
    <row r="1036">
      <c r="A1036" s="7" t="inlineStr">
        <is>
          <t>Simulado 02</t>
        </is>
      </c>
      <c r="B1036" s="8" t="n">
        <v>17</v>
      </c>
      <c r="C1036" s="8" t="inlineStr">
        <is>
          <t>7ª Fase</t>
        </is>
      </c>
      <c r="D1036" s="8" t="inlineStr">
        <is>
          <t>C</t>
        </is>
      </c>
      <c r="E1036" s="8" t="inlineStr">
        <is>
          <t>Não</t>
        </is>
      </c>
      <c r="F1036" s="8" t="n">
        <v>32</v>
      </c>
      <c r="G1036" s="8" t="n">
        <v>3</v>
      </c>
      <c r="H1036" s="9">
        <f>IF(F1036=0,"",G1036/F1036)</f>
        <v/>
      </c>
    </row>
    <row r="1037">
      <c r="A1037" s="10" t="inlineStr">
        <is>
          <t>Simulado 02</t>
        </is>
      </c>
      <c r="B1037" s="11" t="n">
        <v>17</v>
      </c>
      <c r="C1037" s="11" t="inlineStr">
        <is>
          <t>7ª Fase</t>
        </is>
      </c>
      <c r="D1037" s="11" t="inlineStr">
        <is>
          <t>D</t>
        </is>
      </c>
      <c r="E1037" s="11" t="inlineStr">
        <is>
          <t>Não</t>
        </is>
      </c>
      <c r="F1037" s="11" t="n">
        <v>32</v>
      </c>
      <c r="G1037" s="11" t="n">
        <v>1</v>
      </c>
      <c r="H1037" s="12">
        <f>IF(F1037=0,"",G1037/F1037)</f>
        <v/>
      </c>
    </row>
    <row r="1038">
      <c r="A1038" s="7" t="inlineStr">
        <is>
          <t>Simulado 02</t>
        </is>
      </c>
      <c r="B1038" s="8" t="n">
        <v>17</v>
      </c>
      <c r="C1038" s="8" t="inlineStr">
        <is>
          <t>10ª Fase</t>
        </is>
      </c>
      <c r="D1038" s="8" t="inlineStr">
        <is>
          <t>A</t>
        </is>
      </c>
      <c r="E1038" s="8" t="inlineStr">
        <is>
          <t>Sim</t>
        </is>
      </c>
      <c r="F1038" s="8" t="n">
        <v>31</v>
      </c>
      <c r="G1038" s="8" t="n">
        <v>19</v>
      </c>
      <c r="H1038" s="9">
        <f>IF(F1038=0,"",G1038/F1038)</f>
        <v/>
      </c>
    </row>
    <row r="1039">
      <c r="A1039" s="10" t="inlineStr">
        <is>
          <t>Simulado 02</t>
        </is>
      </c>
      <c r="B1039" s="11" t="n">
        <v>17</v>
      </c>
      <c r="C1039" s="11" t="inlineStr">
        <is>
          <t>10ª Fase</t>
        </is>
      </c>
      <c r="D1039" s="11" t="inlineStr">
        <is>
          <t>B</t>
        </is>
      </c>
      <c r="E1039" s="11" t="inlineStr">
        <is>
          <t>Não</t>
        </is>
      </c>
      <c r="F1039" s="11" t="n">
        <v>31</v>
      </c>
      <c r="G1039" s="11" t="n">
        <v>9</v>
      </c>
      <c r="H1039" s="12">
        <f>IF(F1039=0,"",G1039/F1039)</f>
        <v/>
      </c>
    </row>
    <row r="1040">
      <c r="A1040" s="7" t="inlineStr">
        <is>
          <t>Simulado 02</t>
        </is>
      </c>
      <c r="B1040" s="8" t="n">
        <v>17</v>
      </c>
      <c r="C1040" s="8" t="inlineStr">
        <is>
          <t>10ª Fase</t>
        </is>
      </c>
      <c r="D1040" s="8" t="inlineStr">
        <is>
          <t>C</t>
        </is>
      </c>
      <c r="E1040" s="8" t="inlineStr">
        <is>
          <t>Não</t>
        </is>
      </c>
      <c r="F1040" s="8" t="n">
        <v>31</v>
      </c>
      <c r="G1040" s="8" t="n">
        <v>3</v>
      </c>
      <c r="H1040" s="9">
        <f>IF(F1040=0,"",G1040/F1040)</f>
        <v/>
      </c>
    </row>
    <row r="1041">
      <c r="A1041" s="10" t="inlineStr">
        <is>
          <t>Simulado 02</t>
        </is>
      </c>
      <c r="B1041" s="11" t="n">
        <v>17</v>
      </c>
      <c r="C1041" s="11" t="inlineStr">
        <is>
          <t>10ª Fase</t>
        </is>
      </c>
      <c r="D1041" s="11" t="inlineStr">
        <is>
          <t>D</t>
        </is>
      </c>
      <c r="E1041" s="11" t="inlineStr">
        <is>
          <t>Não</t>
        </is>
      </c>
      <c r="F1041" s="11" t="n">
        <v>31</v>
      </c>
      <c r="G1041" s="11" t="n">
        <v>0</v>
      </c>
      <c r="H1041" s="12">
        <f>IF(F1041=0,"",G1041/F1041)</f>
        <v/>
      </c>
    </row>
    <row r="1042">
      <c r="A1042" s="7" t="inlineStr">
        <is>
          <t>Simulado 02</t>
        </is>
      </c>
      <c r="B1042" s="8" t="n">
        <v>17</v>
      </c>
      <c r="C1042" s="8" t="inlineStr">
        <is>
          <t>11ª Fase</t>
        </is>
      </c>
      <c r="D1042" s="8" t="inlineStr">
        <is>
          <t>A</t>
        </is>
      </c>
      <c r="E1042" s="8" t="inlineStr">
        <is>
          <t>Sim</t>
        </is>
      </c>
      <c r="F1042" s="8" t="n">
        <v>29</v>
      </c>
      <c r="G1042" s="8" t="n">
        <v>19</v>
      </c>
      <c r="H1042" s="9">
        <f>IF(F1042=0,"",G1042/F1042)</f>
        <v/>
      </c>
    </row>
    <row r="1043">
      <c r="A1043" s="10" t="inlineStr">
        <is>
          <t>Simulado 02</t>
        </is>
      </c>
      <c r="B1043" s="11" t="n">
        <v>17</v>
      </c>
      <c r="C1043" s="11" t="inlineStr">
        <is>
          <t>11ª Fase</t>
        </is>
      </c>
      <c r="D1043" s="11" t="inlineStr">
        <is>
          <t>B</t>
        </is>
      </c>
      <c r="E1043" s="11" t="inlineStr">
        <is>
          <t>Não</t>
        </is>
      </c>
      <c r="F1043" s="11" t="n">
        <v>29</v>
      </c>
      <c r="G1043" s="11" t="n">
        <v>6</v>
      </c>
      <c r="H1043" s="12">
        <f>IF(F1043=0,"",G1043/F1043)</f>
        <v/>
      </c>
    </row>
    <row r="1044">
      <c r="A1044" s="7" t="inlineStr">
        <is>
          <t>Simulado 02</t>
        </is>
      </c>
      <c r="B1044" s="8" t="n">
        <v>17</v>
      </c>
      <c r="C1044" s="8" t="inlineStr">
        <is>
          <t>11ª Fase</t>
        </is>
      </c>
      <c r="D1044" s="8" t="inlineStr">
        <is>
          <t>C</t>
        </is>
      </c>
      <c r="E1044" s="8" t="inlineStr">
        <is>
          <t>Não</t>
        </is>
      </c>
      <c r="F1044" s="8" t="n">
        <v>29</v>
      </c>
      <c r="G1044" s="8" t="n">
        <v>3</v>
      </c>
      <c r="H1044" s="9">
        <f>IF(F1044=0,"",G1044/F1044)</f>
        <v/>
      </c>
    </row>
    <row r="1045">
      <c r="A1045" s="10" t="inlineStr">
        <is>
          <t>Simulado 02</t>
        </is>
      </c>
      <c r="B1045" s="11" t="n">
        <v>17</v>
      </c>
      <c r="C1045" s="11" t="inlineStr">
        <is>
          <t>11ª Fase</t>
        </is>
      </c>
      <c r="D1045" s="11" t="inlineStr">
        <is>
          <t>D</t>
        </is>
      </c>
      <c r="E1045" s="11" t="inlineStr">
        <is>
          <t>Não</t>
        </is>
      </c>
      <c r="F1045" s="11" t="n">
        <v>29</v>
      </c>
      <c r="G1045" s="11" t="n">
        <v>1</v>
      </c>
      <c r="H1045" s="12">
        <f>IF(F1045=0,"",G1045/F1045)</f>
        <v/>
      </c>
    </row>
    <row r="1046">
      <c r="A1046" s="7" t="inlineStr">
        <is>
          <t>Simulado 02</t>
        </is>
      </c>
      <c r="B1046" s="8" t="n">
        <v>18</v>
      </c>
      <c r="C1046" s="8" t="inlineStr">
        <is>
          <t>6ª Fase</t>
        </is>
      </c>
      <c r="D1046" s="8" t="inlineStr">
        <is>
          <t>A</t>
        </is>
      </c>
      <c r="E1046" s="8" t="inlineStr">
        <is>
          <t>Não</t>
        </is>
      </c>
      <c r="F1046" s="8" t="n">
        <v>28</v>
      </c>
      <c r="G1046" s="8" t="n">
        <v>5</v>
      </c>
      <c r="H1046" s="9">
        <f>IF(F1046=0,"",G1046/F1046)</f>
        <v/>
      </c>
    </row>
    <row r="1047">
      <c r="A1047" s="10" t="inlineStr">
        <is>
          <t>Simulado 02</t>
        </is>
      </c>
      <c r="B1047" s="11" t="n">
        <v>18</v>
      </c>
      <c r="C1047" s="11" t="inlineStr">
        <is>
          <t>6ª Fase</t>
        </is>
      </c>
      <c r="D1047" s="11" t="inlineStr">
        <is>
          <t>B</t>
        </is>
      </c>
      <c r="E1047" s="11" t="inlineStr">
        <is>
          <t>Não</t>
        </is>
      </c>
      <c r="F1047" s="11" t="n">
        <v>28</v>
      </c>
      <c r="G1047" s="11" t="n">
        <v>0</v>
      </c>
      <c r="H1047" s="12">
        <f>IF(F1047=0,"",G1047/F1047)</f>
        <v/>
      </c>
    </row>
    <row r="1048">
      <c r="A1048" s="7" t="inlineStr">
        <is>
          <t>Simulado 02</t>
        </is>
      </c>
      <c r="B1048" s="8" t="n">
        <v>18</v>
      </c>
      <c r="C1048" s="8" t="inlineStr">
        <is>
          <t>6ª Fase</t>
        </is>
      </c>
      <c r="D1048" s="8" t="inlineStr">
        <is>
          <t>C</t>
        </is>
      </c>
      <c r="E1048" s="8" t="inlineStr">
        <is>
          <t>Sim</t>
        </is>
      </c>
      <c r="F1048" s="8" t="n">
        <v>28</v>
      </c>
      <c r="G1048" s="8" t="n">
        <v>19</v>
      </c>
      <c r="H1048" s="9">
        <f>IF(F1048=0,"",G1048/F1048)</f>
        <v/>
      </c>
    </row>
    <row r="1049">
      <c r="A1049" s="10" t="inlineStr">
        <is>
          <t>Simulado 02</t>
        </is>
      </c>
      <c r="B1049" s="11" t="n">
        <v>18</v>
      </c>
      <c r="C1049" s="11" t="inlineStr">
        <is>
          <t>6ª Fase</t>
        </is>
      </c>
      <c r="D1049" s="11" t="inlineStr">
        <is>
          <t>D</t>
        </is>
      </c>
      <c r="E1049" s="11" t="inlineStr">
        <is>
          <t>Não</t>
        </is>
      </c>
      <c r="F1049" s="11" t="n">
        <v>28</v>
      </c>
      <c r="G1049" s="11" t="n">
        <v>4</v>
      </c>
      <c r="H1049" s="12">
        <f>IF(F1049=0,"",G1049/F1049)</f>
        <v/>
      </c>
    </row>
    <row r="1050">
      <c r="A1050" s="7" t="inlineStr">
        <is>
          <t>Simulado 02</t>
        </is>
      </c>
      <c r="B1050" s="8" t="n">
        <v>18</v>
      </c>
      <c r="C1050" s="8" t="inlineStr">
        <is>
          <t>7ª Fase</t>
        </is>
      </c>
      <c r="D1050" s="8" t="inlineStr">
        <is>
          <t>A</t>
        </is>
      </c>
      <c r="E1050" s="8" t="inlineStr">
        <is>
          <t>Não</t>
        </is>
      </c>
      <c r="F1050" s="8" t="n">
        <v>32</v>
      </c>
      <c r="G1050" s="8" t="n">
        <v>11</v>
      </c>
      <c r="H1050" s="9">
        <f>IF(F1050=0,"",G1050/F1050)</f>
        <v/>
      </c>
    </row>
    <row r="1051">
      <c r="A1051" s="10" t="inlineStr">
        <is>
          <t>Simulado 02</t>
        </is>
      </c>
      <c r="B1051" s="11" t="n">
        <v>18</v>
      </c>
      <c r="C1051" s="11" t="inlineStr">
        <is>
          <t>7ª Fase</t>
        </is>
      </c>
      <c r="D1051" s="11" t="inlineStr">
        <is>
          <t>B</t>
        </is>
      </c>
      <c r="E1051" s="11" t="inlineStr">
        <is>
          <t>Não</t>
        </is>
      </c>
      <c r="F1051" s="11" t="n">
        <v>32</v>
      </c>
      <c r="G1051" s="11" t="n">
        <v>0</v>
      </c>
      <c r="H1051" s="12">
        <f>IF(F1051=0,"",G1051/F1051)</f>
        <v/>
      </c>
    </row>
    <row r="1052">
      <c r="A1052" s="7" t="inlineStr">
        <is>
          <t>Simulado 02</t>
        </is>
      </c>
      <c r="B1052" s="8" t="n">
        <v>18</v>
      </c>
      <c r="C1052" s="8" t="inlineStr">
        <is>
          <t>7ª Fase</t>
        </is>
      </c>
      <c r="D1052" s="8" t="inlineStr">
        <is>
          <t>C</t>
        </is>
      </c>
      <c r="E1052" s="8" t="inlineStr">
        <is>
          <t>Sim</t>
        </is>
      </c>
      <c r="F1052" s="8" t="n">
        <v>32</v>
      </c>
      <c r="G1052" s="8" t="n">
        <v>20</v>
      </c>
      <c r="H1052" s="9">
        <f>IF(F1052=0,"",G1052/F1052)</f>
        <v/>
      </c>
    </row>
    <row r="1053">
      <c r="A1053" s="10" t="inlineStr">
        <is>
          <t>Simulado 02</t>
        </is>
      </c>
      <c r="B1053" s="11" t="n">
        <v>18</v>
      </c>
      <c r="C1053" s="11" t="inlineStr">
        <is>
          <t>7ª Fase</t>
        </is>
      </c>
      <c r="D1053" s="11" t="inlineStr">
        <is>
          <t>D</t>
        </is>
      </c>
      <c r="E1053" s="11" t="inlineStr">
        <is>
          <t>Não</t>
        </is>
      </c>
      <c r="F1053" s="11" t="n">
        <v>32</v>
      </c>
      <c r="G1053" s="11" t="n">
        <v>1</v>
      </c>
      <c r="H1053" s="12">
        <f>IF(F1053=0,"",G1053/F1053)</f>
        <v/>
      </c>
    </row>
    <row r="1054">
      <c r="A1054" s="7" t="inlineStr">
        <is>
          <t>Simulado 02</t>
        </is>
      </c>
      <c r="B1054" s="8" t="n">
        <v>18</v>
      </c>
      <c r="C1054" s="8" t="inlineStr">
        <is>
          <t>10ª Fase</t>
        </is>
      </c>
      <c r="D1054" s="8" t="inlineStr">
        <is>
          <t>A</t>
        </is>
      </c>
      <c r="E1054" s="8" t="inlineStr">
        <is>
          <t>Não</t>
        </is>
      </c>
      <c r="F1054" s="8" t="n">
        <v>31</v>
      </c>
      <c r="G1054" s="8" t="n">
        <v>10</v>
      </c>
      <c r="H1054" s="9">
        <f>IF(F1054=0,"",G1054/F1054)</f>
        <v/>
      </c>
    </row>
    <row r="1055">
      <c r="A1055" s="10" t="inlineStr">
        <is>
          <t>Simulado 02</t>
        </is>
      </c>
      <c r="B1055" s="11" t="n">
        <v>18</v>
      </c>
      <c r="C1055" s="11" t="inlineStr">
        <is>
          <t>10ª Fase</t>
        </is>
      </c>
      <c r="D1055" s="11" t="inlineStr">
        <is>
          <t>B</t>
        </is>
      </c>
      <c r="E1055" s="11" t="inlineStr">
        <is>
          <t>Não</t>
        </is>
      </c>
      <c r="F1055" s="11" t="n">
        <v>31</v>
      </c>
      <c r="G1055" s="11" t="n">
        <v>0</v>
      </c>
      <c r="H1055" s="12">
        <f>IF(F1055=0,"",G1055/F1055)</f>
        <v/>
      </c>
    </row>
    <row r="1056">
      <c r="A1056" s="7" t="inlineStr">
        <is>
          <t>Simulado 02</t>
        </is>
      </c>
      <c r="B1056" s="8" t="n">
        <v>18</v>
      </c>
      <c r="C1056" s="8" t="inlineStr">
        <is>
          <t>10ª Fase</t>
        </is>
      </c>
      <c r="D1056" s="8" t="inlineStr">
        <is>
          <t>C</t>
        </is>
      </c>
      <c r="E1056" s="8" t="inlineStr">
        <is>
          <t>Sim</t>
        </is>
      </c>
      <c r="F1056" s="8" t="n">
        <v>31</v>
      </c>
      <c r="G1056" s="8" t="n">
        <v>20</v>
      </c>
      <c r="H1056" s="9">
        <f>IF(F1056=0,"",G1056/F1056)</f>
        <v/>
      </c>
    </row>
    <row r="1057">
      <c r="A1057" s="10" t="inlineStr">
        <is>
          <t>Simulado 02</t>
        </is>
      </c>
      <c r="B1057" s="11" t="n">
        <v>18</v>
      </c>
      <c r="C1057" s="11" t="inlineStr">
        <is>
          <t>10ª Fase</t>
        </is>
      </c>
      <c r="D1057" s="11" t="inlineStr">
        <is>
          <t>D</t>
        </is>
      </c>
      <c r="E1057" s="11" t="inlineStr">
        <is>
          <t>Não</t>
        </is>
      </c>
      <c r="F1057" s="11" t="n">
        <v>31</v>
      </c>
      <c r="G1057" s="11" t="n">
        <v>1</v>
      </c>
      <c r="H1057" s="12">
        <f>IF(F1057=0,"",G1057/F1057)</f>
        <v/>
      </c>
    </row>
    <row r="1058">
      <c r="A1058" s="7" t="inlineStr">
        <is>
          <t>Simulado 02</t>
        </is>
      </c>
      <c r="B1058" s="8" t="n">
        <v>18</v>
      </c>
      <c r="C1058" s="8" t="inlineStr">
        <is>
          <t>11ª Fase</t>
        </is>
      </c>
      <c r="D1058" s="8" t="inlineStr">
        <is>
          <t>A</t>
        </is>
      </c>
      <c r="E1058" s="8" t="inlineStr">
        <is>
          <t>Não</t>
        </is>
      </c>
      <c r="F1058" s="8" t="n">
        <v>29</v>
      </c>
      <c r="G1058" s="8" t="n">
        <v>4</v>
      </c>
      <c r="H1058" s="9">
        <f>IF(F1058=0,"",G1058/F1058)</f>
        <v/>
      </c>
    </row>
    <row r="1059">
      <c r="A1059" s="10" t="inlineStr">
        <is>
          <t>Simulado 02</t>
        </is>
      </c>
      <c r="B1059" s="11" t="n">
        <v>18</v>
      </c>
      <c r="C1059" s="11" t="inlineStr">
        <is>
          <t>11ª Fase</t>
        </is>
      </c>
      <c r="D1059" s="11" t="inlineStr">
        <is>
          <t>B</t>
        </is>
      </c>
      <c r="E1059" s="11" t="inlineStr">
        <is>
          <t>Não</t>
        </is>
      </c>
      <c r="F1059" s="11" t="n">
        <v>29</v>
      </c>
      <c r="G1059" s="11" t="n">
        <v>0</v>
      </c>
      <c r="H1059" s="12">
        <f>IF(F1059=0,"",G1059/F1059)</f>
        <v/>
      </c>
    </row>
    <row r="1060">
      <c r="A1060" s="7" t="inlineStr">
        <is>
          <t>Simulado 02</t>
        </is>
      </c>
      <c r="B1060" s="8" t="n">
        <v>18</v>
      </c>
      <c r="C1060" s="8" t="inlineStr">
        <is>
          <t>11ª Fase</t>
        </is>
      </c>
      <c r="D1060" s="8" t="inlineStr">
        <is>
          <t>C</t>
        </is>
      </c>
      <c r="E1060" s="8" t="inlineStr">
        <is>
          <t>Sim</t>
        </is>
      </c>
      <c r="F1060" s="8" t="n">
        <v>29</v>
      </c>
      <c r="G1060" s="8" t="n">
        <v>24</v>
      </c>
      <c r="H1060" s="9">
        <f>IF(F1060=0,"",G1060/F1060)</f>
        <v/>
      </c>
    </row>
    <row r="1061">
      <c r="A1061" s="10" t="inlineStr">
        <is>
          <t>Simulado 02</t>
        </is>
      </c>
      <c r="B1061" s="11" t="n">
        <v>18</v>
      </c>
      <c r="C1061" s="11" t="inlineStr">
        <is>
          <t>11ª Fase</t>
        </is>
      </c>
      <c r="D1061" s="11" t="inlineStr">
        <is>
          <t>D</t>
        </is>
      </c>
      <c r="E1061" s="11" t="inlineStr">
        <is>
          <t>Não</t>
        </is>
      </c>
      <c r="F1061" s="11" t="n">
        <v>29</v>
      </c>
      <c r="G1061" s="11" t="n">
        <v>1</v>
      </c>
      <c r="H1061" s="12">
        <f>IF(F1061=0,"",G1061/F1061)</f>
        <v/>
      </c>
    </row>
    <row r="1062">
      <c r="A1062" s="7" t="inlineStr">
        <is>
          <t>Simulado 02</t>
        </is>
      </c>
      <c r="B1062" s="8" t="n">
        <v>19</v>
      </c>
      <c r="C1062" s="8" t="inlineStr">
        <is>
          <t>6ª Fase</t>
        </is>
      </c>
      <c r="D1062" s="8" t="inlineStr">
        <is>
          <t>A</t>
        </is>
      </c>
      <c r="E1062" s="8" t="inlineStr">
        <is>
          <t>Não</t>
        </is>
      </c>
      <c r="F1062" s="8" t="n">
        <v>28</v>
      </c>
      <c r="G1062" s="8" t="n">
        <v>1</v>
      </c>
      <c r="H1062" s="9">
        <f>IF(F1062=0,"",G1062/F1062)</f>
        <v/>
      </c>
    </row>
    <row r="1063">
      <c r="A1063" s="10" t="inlineStr">
        <is>
          <t>Simulado 02</t>
        </is>
      </c>
      <c r="B1063" s="11" t="n">
        <v>19</v>
      </c>
      <c r="C1063" s="11" t="inlineStr">
        <is>
          <t>6ª Fase</t>
        </is>
      </c>
      <c r="D1063" s="11" t="inlineStr">
        <is>
          <t>B</t>
        </is>
      </c>
      <c r="E1063" s="11" t="inlineStr">
        <is>
          <t>Não</t>
        </is>
      </c>
      <c r="F1063" s="11" t="n">
        <v>28</v>
      </c>
      <c r="G1063" s="11" t="n">
        <v>1</v>
      </c>
      <c r="H1063" s="12">
        <f>IF(F1063=0,"",G1063/F1063)</f>
        <v/>
      </c>
    </row>
    <row r="1064">
      <c r="A1064" s="7" t="inlineStr">
        <is>
          <t>Simulado 02</t>
        </is>
      </c>
      <c r="B1064" s="8" t="n">
        <v>19</v>
      </c>
      <c r="C1064" s="8" t="inlineStr">
        <is>
          <t>6ª Fase</t>
        </is>
      </c>
      <c r="D1064" s="8" t="inlineStr">
        <is>
          <t>C</t>
        </is>
      </c>
      <c r="E1064" s="8" t="inlineStr">
        <is>
          <t>Sim</t>
        </is>
      </c>
      <c r="F1064" s="8" t="n">
        <v>28</v>
      </c>
      <c r="G1064" s="8" t="n">
        <v>17</v>
      </c>
      <c r="H1064" s="9">
        <f>IF(F1064=0,"",G1064/F1064)</f>
        <v/>
      </c>
    </row>
    <row r="1065">
      <c r="A1065" s="10" t="inlineStr">
        <is>
          <t>Simulado 02</t>
        </is>
      </c>
      <c r="B1065" s="11" t="n">
        <v>19</v>
      </c>
      <c r="C1065" s="11" t="inlineStr">
        <is>
          <t>6ª Fase</t>
        </is>
      </c>
      <c r="D1065" s="11" t="inlineStr">
        <is>
          <t>D</t>
        </is>
      </c>
      <c r="E1065" s="11" t="inlineStr">
        <is>
          <t>Não</t>
        </is>
      </c>
      <c r="F1065" s="11" t="n">
        <v>28</v>
      </c>
      <c r="G1065" s="11" t="n">
        <v>9</v>
      </c>
      <c r="H1065" s="12">
        <f>IF(F1065=0,"",G1065/F1065)</f>
        <v/>
      </c>
    </row>
    <row r="1066">
      <c r="A1066" s="7" t="inlineStr">
        <is>
          <t>Simulado 02</t>
        </is>
      </c>
      <c r="B1066" s="8" t="n">
        <v>19</v>
      </c>
      <c r="C1066" s="8" t="inlineStr">
        <is>
          <t>7ª Fase</t>
        </is>
      </c>
      <c r="D1066" s="8" t="inlineStr">
        <is>
          <t>A</t>
        </is>
      </c>
      <c r="E1066" s="8" t="inlineStr">
        <is>
          <t>Não</t>
        </is>
      </c>
      <c r="F1066" s="8" t="n">
        <v>32</v>
      </c>
      <c r="G1066" s="8" t="n">
        <v>0</v>
      </c>
      <c r="H1066" s="9">
        <f>IF(F1066=0,"",G1066/F1066)</f>
        <v/>
      </c>
    </row>
    <row r="1067">
      <c r="A1067" s="10" t="inlineStr">
        <is>
          <t>Simulado 02</t>
        </is>
      </c>
      <c r="B1067" s="11" t="n">
        <v>19</v>
      </c>
      <c r="C1067" s="11" t="inlineStr">
        <is>
          <t>7ª Fase</t>
        </is>
      </c>
      <c r="D1067" s="11" t="inlineStr">
        <is>
          <t>B</t>
        </is>
      </c>
      <c r="E1067" s="11" t="inlineStr">
        <is>
          <t>Não</t>
        </is>
      </c>
      <c r="F1067" s="11" t="n">
        <v>32</v>
      </c>
      <c r="G1067" s="11" t="n">
        <v>2</v>
      </c>
      <c r="H1067" s="12">
        <f>IF(F1067=0,"",G1067/F1067)</f>
        <v/>
      </c>
    </row>
    <row r="1068">
      <c r="A1068" s="7" t="inlineStr">
        <is>
          <t>Simulado 02</t>
        </is>
      </c>
      <c r="B1068" s="8" t="n">
        <v>19</v>
      </c>
      <c r="C1068" s="8" t="inlineStr">
        <is>
          <t>7ª Fase</t>
        </is>
      </c>
      <c r="D1068" s="8" t="inlineStr">
        <is>
          <t>C</t>
        </is>
      </c>
      <c r="E1068" s="8" t="inlineStr">
        <is>
          <t>Sim</t>
        </is>
      </c>
      <c r="F1068" s="8" t="n">
        <v>32</v>
      </c>
      <c r="G1068" s="8" t="n">
        <v>20</v>
      </c>
      <c r="H1068" s="9">
        <f>IF(F1068=0,"",G1068/F1068)</f>
        <v/>
      </c>
    </row>
    <row r="1069">
      <c r="A1069" s="10" t="inlineStr">
        <is>
          <t>Simulado 02</t>
        </is>
      </c>
      <c r="B1069" s="11" t="n">
        <v>19</v>
      </c>
      <c r="C1069" s="11" t="inlineStr">
        <is>
          <t>7ª Fase</t>
        </is>
      </c>
      <c r="D1069" s="11" t="inlineStr">
        <is>
          <t>D</t>
        </is>
      </c>
      <c r="E1069" s="11" t="inlineStr">
        <is>
          <t>Não</t>
        </is>
      </c>
      <c r="F1069" s="11" t="n">
        <v>32</v>
      </c>
      <c r="G1069" s="11" t="n">
        <v>10</v>
      </c>
      <c r="H1069" s="12">
        <f>IF(F1069=0,"",G1069/F1069)</f>
        <v/>
      </c>
    </row>
    <row r="1070">
      <c r="A1070" s="7" t="inlineStr">
        <is>
          <t>Simulado 02</t>
        </is>
      </c>
      <c r="B1070" s="8" t="n">
        <v>19</v>
      </c>
      <c r="C1070" s="8" t="inlineStr">
        <is>
          <t>10ª Fase</t>
        </is>
      </c>
      <c r="D1070" s="8" t="inlineStr">
        <is>
          <t>A</t>
        </is>
      </c>
      <c r="E1070" s="8" t="inlineStr">
        <is>
          <t>Não</t>
        </is>
      </c>
      <c r="F1070" s="8" t="n">
        <v>31</v>
      </c>
      <c r="G1070" s="8" t="n">
        <v>0</v>
      </c>
      <c r="H1070" s="9">
        <f>IF(F1070=0,"",G1070/F1070)</f>
        <v/>
      </c>
    </row>
    <row r="1071">
      <c r="A1071" s="10" t="inlineStr">
        <is>
          <t>Simulado 02</t>
        </is>
      </c>
      <c r="B1071" s="11" t="n">
        <v>19</v>
      </c>
      <c r="C1071" s="11" t="inlineStr">
        <is>
          <t>10ª Fase</t>
        </is>
      </c>
      <c r="D1071" s="11" t="inlineStr">
        <is>
          <t>B</t>
        </is>
      </c>
      <c r="E1071" s="11" t="inlineStr">
        <is>
          <t>Não</t>
        </is>
      </c>
      <c r="F1071" s="11" t="n">
        <v>31</v>
      </c>
      <c r="G1071" s="11" t="n">
        <v>1</v>
      </c>
      <c r="H1071" s="12">
        <f>IF(F1071=0,"",G1071/F1071)</f>
        <v/>
      </c>
    </row>
    <row r="1072">
      <c r="A1072" s="7" t="inlineStr">
        <is>
          <t>Simulado 02</t>
        </is>
      </c>
      <c r="B1072" s="8" t="n">
        <v>19</v>
      </c>
      <c r="C1072" s="8" t="inlineStr">
        <is>
          <t>10ª Fase</t>
        </is>
      </c>
      <c r="D1072" s="8" t="inlineStr">
        <is>
          <t>C</t>
        </is>
      </c>
      <c r="E1072" s="8" t="inlineStr">
        <is>
          <t>Sim</t>
        </is>
      </c>
      <c r="F1072" s="8" t="n">
        <v>31</v>
      </c>
      <c r="G1072" s="8" t="n">
        <v>23</v>
      </c>
      <c r="H1072" s="9">
        <f>IF(F1072=0,"",G1072/F1072)</f>
        <v/>
      </c>
    </row>
    <row r="1073">
      <c r="A1073" s="10" t="inlineStr">
        <is>
          <t>Simulado 02</t>
        </is>
      </c>
      <c r="B1073" s="11" t="n">
        <v>19</v>
      </c>
      <c r="C1073" s="11" t="inlineStr">
        <is>
          <t>10ª Fase</t>
        </is>
      </c>
      <c r="D1073" s="11" t="inlineStr">
        <is>
          <t>D</t>
        </is>
      </c>
      <c r="E1073" s="11" t="inlineStr">
        <is>
          <t>Não</t>
        </is>
      </c>
      <c r="F1073" s="11" t="n">
        <v>31</v>
      </c>
      <c r="G1073" s="11" t="n">
        <v>7</v>
      </c>
      <c r="H1073" s="12">
        <f>IF(F1073=0,"",G1073/F1073)</f>
        <v/>
      </c>
    </row>
    <row r="1074">
      <c r="A1074" s="7" t="inlineStr">
        <is>
          <t>Simulado 02</t>
        </is>
      </c>
      <c r="B1074" s="8" t="n">
        <v>19</v>
      </c>
      <c r="C1074" s="8" t="inlineStr">
        <is>
          <t>11ª Fase</t>
        </is>
      </c>
      <c r="D1074" s="8" t="inlineStr">
        <is>
          <t>A</t>
        </is>
      </c>
      <c r="E1074" s="8" t="inlineStr">
        <is>
          <t>Não</t>
        </is>
      </c>
      <c r="F1074" s="8" t="n">
        <v>29</v>
      </c>
      <c r="G1074" s="8" t="n">
        <v>1</v>
      </c>
      <c r="H1074" s="9">
        <f>IF(F1074=0,"",G1074/F1074)</f>
        <v/>
      </c>
    </row>
    <row r="1075">
      <c r="A1075" s="10" t="inlineStr">
        <is>
          <t>Simulado 02</t>
        </is>
      </c>
      <c r="B1075" s="11" t="n">
        <v>19</v>
      </c>
      <c r="C1075" s="11" t="inlineStr">
        <is>
          <t>11ª Fase</t>
        </is>
      </c>
      <c r="D1075" s="11" t="inlineStr">
        <is>
          <t>B</t>
        </is>
      </c>
      <c r="E1075" s="11" t="inlineStr">
        <is>
          <t>Não</t>
        </is>
      </c>
      <c r="F1075" s="11" t="n">
        <v>29</v>
      </c>
      <c r="G1075" s="11" t="n">
        <v>0</v>
      </c>
      <c r="H1075" s="12">
        <f>IF(F1075=0,"",G1075/F1075)</f>
        <v/>
      </c>
    </row>
    <row r="1076">
      <c r="A1076" s="7" t="inlineStr">
        <is>
          <t>Simulado 02</t>
        </is>
      </c>
      <c r="B1076" s="8" t="n">
        <v>19</v>
      </c>
      <c r="C1076" s="8" t="inlineStr">
        <is>
          <t>11ª Fase</t>
        </is>
      </c>
      <c r="D1076" s="8" t="inlineStr">
        <is>
          <t>C</t>
        </is>
      </c>
      <c r="E1076" s="8" t="inlineStr">
        <is>
          <t>Sim</t>
        </is>
      </c>
      <c r="F1076" s="8" t="n">
        <v>29</v>
      </c>
      <c r="G1076" s="8" t="n">
        <v>24</v>
      </c>
      <c r="H1076" s="9">
        <f>IF(F1076=0,"",G1076/F1076)</f>
        <v/>
      </c>
    </row>
    <row r="1077">
      <c r="A1077" s="10" t="inlineStr">
        <is>
          <t>Simulado 02</t>
        </is>
      </c>
      <c r="B1077" s="11" t="n">
        <v>19</v>
      </c>
      <c r="C1077" s="11" t="inlineStr">
        <is>
          <t>11ª Fase</t>
        </is>
      </c>
      <c r="D1077" s="11" t="inlineStr">
        <is>
          <t>D</t>
        </is>
      </c>
      <c r="E1077" s="11" t="inlineStr">
        <is>
          <t>Não</t>
        </is>
      </c>
      <c r="F1077" s="11" t="n">
        <v>29</v>
      </c>
      <c r="G1077" s="11" t="n">
        <v>4</v>
      </c>
      <c r="H1077" s="12">
        <f>IF(F1077=0,"",G1077/F1077)</f>
        <v/>
      </c>
    </row>
    <row r="1078">
      <c r="A1078" s="7" t="inlineStr">
        <is>
          <t>Simulado 02</t>
        </is>
      </c>
      <c r="B1078" s="8" t="n">
        <v>20</v>
      </c>
      <c r="C1078" s="8" t="inlineStr">
        <is>
          <t>6ª Fase</t>
        </is>
      </c>
      <c r="D1078" s="8" t="inlineStr">
        <is>
          <t>A</t>
        </is>
      </c>
      <c r="E1078" s="8" t="inlineStr">
        <is>
          <t>Não</t>
        </is>
      </c>
      <c r="F1078" s="8" t="n">
        <v>28</v>
      </c>
      <c r="G1078" s="8" t="n">
        <v>0</v>
      </c>
      <c r="H1078" s="9">
        <f>IF(F1078=0,"",G1078/F1078)</f>
        <v/>
      </c>
    </row>
    <row r="1079">
      <c r="A1079" s="10" t="inlineStr">
        <is>
          <t>Simulado 02</t>
        </is>
      </c>
      <c r="B1079" s="11" t="n">
        <v>20</v>
      </c>
      <c r="C1079" s="11" t="inlineStr">
        <is>
          <t>6ª Fase</t>
        </is>
      </c>
      <c r="D1079" s="11" t="inlineStr">
        <is>
          <t>B</t>
        </is>
      </c>
      <c r="E1079" s="11" t="inlineStr">
        <is>
          <t>Sim</t>
        </is>
      </c>
      <c r="F1079" s="11" t="n">
        <v>28</v>
      </c>
      <c r="G1079" s="11" t="n">
        <v>17</v>
      </c>
      <c r="H1079" s="12">
        <f>IF(F1079=0,"",G1079/F1079)</f>
        <v/>
      </c>
    </row>
    <row r="1080">
      <c r="A1080" s="7" t="inlineStr">
        <is>
          <t>Simulado 02</t>
        </is>
      </c>
      <c r="B1080" s="8" t="n">
        <v>20</v>
      </c>
      <c r="C1080" s="8" t="inlineStr">
        <is>
          <t>6ª Fase</t>
        </is>
      </c>
      <c r="D1080" s="8" t="inlineStr">
        <is>
          <t>C</t>
        </is>
      </c>
      <c r="E1080" s="8" t="inlineStr">
        <is>
          <t>Não</t>
        </is>
      </c>
      <c r="F1080" s="8" t="n">
        <v>28</v>
      </c>
      <c r="G1080" s="8" t="n">
        <v>6</v>
      </c>
      <c r="H1080" s="9">
        <f>IF(F1080=0,"",G1080/F1080)</f>
        <v/>
      </c>
    </row>
    <row r="1081">
      <c r="A1081" s="10" t="inlineStr">
        <is>
          <t>Simulado 02</t>
        </is>
      </c>
      <c r="B1081" s="11" t="n">
        <v>20</v>
      </c>
      <c r="C1081" s="11" t="inlineStr">
        <is>
          <t>6ª Fase</t>
        </is>
      </c>
      <c r="D1081" s="11" t="inlineStr">
        <is>
          <t>D</t>
        </is>
      </c>
      <c r="E1081" s="11" t="inlineStr">
        <is>
          <t>Não</t>
        </is>
      </c>
      <c r="F1081" s="11" t="n">
        <v>28</v>
      </c>
      <c r="G1081" s="11" t="n">
        <v>5</v>
      </c>
      <c r="H1081" s="12">
        <f>IF(F1081=0,"",G1081/F1081)</f>
        <v/>
      </c>
    </row>
    <row r="1082">
      <c r="A1082" s="7" t="inlineStr">
        <is>
          <t>Simulado 02</t>
        </is>
      </c>
      <c r="B1082" s="8" t="n">
        <v>20</v>
      </c>
      <c r="C1082" s="8" t="inlineStr">
        <is>
          <t>7ª Fase</t>
        </is>
      </c>
      <c r="D1082" s="8" t="inlineStr">
        <is>
          <t>A</t>
        </is>
      </c>
      <c r="E1082" s="8" t="inlineStr">
        <is>
          <t>Não</t>
        </is>
      </c>
      <c r="F1082" s="8" t="n">
        <v>32</v>
      </c>
      <c r="G1082" s="8" t="n">
        <v>1</v>
      </c>
      <c r="H1082" s="9">
        <f>IF(F1082=0,"",G1082/F1082)</f>
        <v/>
      </c>
    </row>
    <row r="1083">
      <c r="A1083" s="10" t="inlineStr">
        <is>
          <t>Simulado 02</t>
        </is>
      </c>
      <c r="B1083" s="11" t="n">
        <v>20</v>
      </c>
      <c r="C1083" s="11" t="inlineStr">
        <is>
          <t>7ª Fase</t>
        </is>
      </c>
      <c r="D1083" s="11" t="inlineStr">
        <is>
          <t>B</t>
        </is>
      </c>
      <c r="E1083" s="11" t="inlineStr">
        <is>
          <t>Sim</t>
        </is>
      </c>
      <c r="F1083" s="11" t="n">
        <v>32</v>
      </c>
      <c r="G1083" s="11" t="n">
        <v>16</v>
      </c>
      <c r="H1083" s="12">
        <f>IF(F1083=0,"",G1083/F1083)</f>
        <v/>
      </c>
    </row>
    <row r="1084">
      <c r="A1084" s="7" t="inlineStr">
        <is>
          <t>Simulado 02</t>
        </is>
      </c>
      <c r="B1084" s="8" t="n">
        <v>20</v>
      </c>
      <c r="C1084" s="8" t="inlineStr">
        <is>
          <t>7ª Fase</t>
        </is>
      </c>
      <c r="D1084" s="8" t="inlineStr">
        <is>
          <t>C</t>
        </is>
      </c>
      <c r="E1084" s="8" t="inlineStr">
        <is>
          <t>Não</t>
        </is>
      </c>
      <c r="F1084" s="8" t="n">
        <v>32</v>
      </c>
      <c r="G1084" s="8" t="n">
        <v>10</v>
      </c>
      <c r="H1084" s="9">
        <f>IF(F1084=0,"",G1084/F1084)</f>
        <v/>
      </c>
    </row>
    <row r="1085">
      <c r="A1085" s="10" t="inlineStr">
        <is>
          <t>Simulado 02</t>
        </is>
      </c>
      <c r="B1085" s="11" t="n">
        <v>20</v>
      </c>
      <c r="C1085" s="11" t="inlineStr">
        <is>
          <t>7ª Fase</t>
        </is>
      </c>
      <c r="D1085" s="11" t="inlineStr">
        <is>
          <t>D</t>
        </is>
      </c>
      <c r="E1085" s="11" t="inlineStr">
        <is>
          <t>Não</t>
        </is>
      </c>
      <c r="F1085" s="11" t="n">
        <v>32</v>
      </c>
      <c r="G1085" s="11" t="n">
        <v>5</v>
      </c>
      <c r="H1085" s="12">
        <f>IF(F1085=0,"",G1085/F1085)</f>
        <v/>
      </c>
    </row>
    <row r="1086">
      <c r="A1086" s="7" t="inlineStr">
        <is>
          <t>Simulado 02</t>
        </is>
      </c>
      <c r="B1086" s="8" t="n">
        <v>20</v>
      </c>
      <c r="C1086" s="8" t="inlineStr">
        <is>
          <t>10ª Fase</t>
        </is>
      </c>
      <c r="D1086" s="8" t="inlineStr">
        <is>
          <t>A</t>
        </is>
      </c>
      <c r="E1086" s="8" t="inlineStr">
        <is>
          <t>Não</t>
        </is>
      </c>
      <c r="F1086" s="8" t="n">
        <v>31</v>
      </c>
      <c r="G1086" s="8" t="n">
        <v>0</v>
      </c>
      <c r="H1086" s="9">
        <f>IF(F1086=0,"",G1086/F1086)</f>
        <v/>
      </c>
    </row>
    <row r="1087">
      <c r="A1087" s="10" t="inlineStr">
        <is>
          <t>Simulado 02</t>
        </is>
      </c>
      <c r="B1087" s="11" t="n">
        <v>20</v>
      </c>
      <c r="C1087" s="11" t="inlineStr">
        <is>
          <t>10ª Fase</t>
        </is>
      </c>
      <c r="D1087" s="11" t="inlineStr">
        <is>
          <t>B</t>
        </is>
      </c>
      <c r="E1087" s="11" t="inlineStr">
        <is>
          <t>Sim</t>
        </is>
      </c>
      <c r="F1087" s="11" t="n">
        <v>31</v>
      </c>
      <c r="G1087" s="11" t="n">
        <v>11</v>
      </c>
      <c r="H1087" s="12">
        <f>IF(F1087=0,"",G1087/F1087)</f>
        <v/>
      </c>
    </row>
    <row r="1088">
      <c r="A1088" s="7" t="inlineStr">
        <is>
          <t>Simulado 02</t>
        </is>
      </c>
      <c r="B1088" s="8" t="n">
        <v>20</v>
      </c>
      <c r="C1088" s="8" t="inlineStr">
        <is>
          <t>10ª Fase</t>
        </is>
      </c>
      <c r="D1088" s="8" t="inlineStr">
        <is>
          <t>C</t>
        </is>
      </c>
      <c r="E1088" s="8" t="inlineStr">
        <is>
          <t>Não</t>
        </is>
      </c>
      <c r="F1088" s="8" t="n">
        <v>31</v>
      </c>
      <c r="G1088" s="8" t="n">
        <v>18</v>
      </c>
      <c r="H1088" s="9">
        <f>IF(F1088=0,"",G1088/F1088)</f>
        <v/>
      </c>
    </row>
    <row r="1089">
      <c r="A1089" s="10" t="inlineStr">
        <is>
          <t>Simulado 02</t>
        </is>
      </c>
      <c r="B1089" s="11" t="n">
        <v>20</v>
      </c>
      <c r="C1089" s="11" t="inlineStr">
        <is>
          <t>10ª Fase</t>
        </is>
      </c>
      <c r="D1089" s="11" t="inlineStr">
        <is>
          <t>D</t>
        </is>
      </c>
      <c r="E1089" s="11" t="inlineStr">
        <is>
          <t>Não</t>
        </is>
      </c>
      <c r="F1089" s="11" t="n">
        <v>31</v>
      </c>
      <c r="G1089" s="11" t="n">
        <v>2</v>
      </c>
      <c r="H1089" s="12">
        <f>IF(F1089=0,"",G1089/F1089)</f>
        <v/>
      </c>
    </row>
    <row r="1090">
      <c r="A1090" s="7" t="inlineStr">
        <is>
          <t>Simulado 02</t>
        </is>
      </c>
      <c r="B1090" s="8" t="n">
        <v>20</v>
      </c>
      <c r="C1090" s="8" t="inlineStr">
        <is>
          <t>11ª Fase</t>
        </is>
      </c>
      <c r="D1090" s="8" t="inlineStr">
        <is>
          <t>A</t>
        </is>
      </c>
      <c r="E1090" s="8" t="inlineStr">
        <is>
          <t>Não</t>
        </is>
      </c>
      <c r="F1090" s="8" t="n">
        <v>29</v>
      </c>
      <c r="G1090" s="8" t="n">
        <v>0</v>
      </c>
      <c r="H1090" s="9">
        <f>IF(F1090=0,"",G1090/F1090)</f>
        <v/>
      </c>
    </row>
    <row r="1091">
      <c r="A1091" s="10" t="inlineStr">
        <is>
          <t>Simulado 02</t>
        </is>
      </c>
      <c r="B1091" s="11" t="n">
        <v>20</v>
      </c>
      <c r="C1091" s="11" t="inlineStr">
        <is>
          <t>11ª Fase</t>
        </is>
      </c>
      <c r="D1091" s="11" t="inlineStr">
        <is>
          <t>B</t>
        </is>
      </c>
      <c r="E1091" s="11" t="inlineStr">
        <is>
          <t>Sim</t>
        </is>
      </c>
      <c r="F1091" s="11" t="n">
        <v>29</v>
      </c>
      <c r="G1091" s="11" t="n">
        <v>17</v>
      </c>
      <c r="H1091" s="12">
        <f>IF(F1091=0,"",G1091/F1091)</f>
        <v/>
      </c>
    </row>
    <row r="1092">
      <c r="A1092" s="7" t="inlineStr">
        <is>
          <t>Simulado 02</t>
        </is>
      </c>
      <c r="B1092" s="8" t="n">
        <v>20</v>
      </c>
      <c r="C1092" s="8" t="inlineStr">
        <is>
          <t>11ª Fase</t>
        </is>
      </c>
      <c r="D1092" s="8" t="inlineStr">
        <is>
          <t>C</t>
        </is>
      </c>
      <c r="E1092" s="8" t="inlineStr">
        <is>
          <t>Não</t>
        </is>
      </c>
      <c r="F1092" s="8" t="n">
        <v>29</v>
      </c>
      <c r="G1092" s="8" t="n">
        <v>10</v>
      </c>
      <c r="H1092" s="9">
        <f>IF(F1092=0,"",G1092/F1092)</f>
        <v/>
      </c>
    </row>
    <row r="1093">
      <c r="A1093" s="10" t="inlineStr">
        <is>
          <t>Simulado 02</t>
        </is>
      </c>
      <c r="B1093" s="11" t="n">
        <v>20</v>
      </c>
      <c r="C1093" s="11" t="inlineStr">
        <is>
          <t>11ª Fase</t>
        </is>
      </c>
      <c r="D1093" s="11" t="inlineStr">
        <is>
          <t>D</t>
        </is>
      </c>
      <c r="E1093" s="11" t="inlineStr">
        <is>
          <t>Não</t>
        </is>
      </c>
      <c r="F1093" s="11" t="n">
        <v>29</v>
      </c>
      <c r="G1093" s="11" t="n">
        <v>2</v>
      </c>
      <c r="H1093" s="12">
        <f>IF(F1093=0,"",G1093/F1093)</f>
        <v/>
      </c>
    </row>
    <row r="1094">
      <c r="A1094" s="7" t="inlineStr">
        <is>
          <t>Simulado 02</t>
        </is>
      </c>
      <c r="B1094" s="8" t="n">
        <v>21</v>
      </c>
      <c r="C1094" s="8" t="inlineStr">
        <is>
          <t>6ª Fase</t>
        </is>
      </c>
      <c r="D1094" s="8" t="inlineStr">
        <is>
          <t>A</t>
        </is>
      </c>
      <c r="E1094" s="8" t="inlineStr">
        <is>
          <t>Sim</t>
        </is>
      </c>
      <c r="F1094" s="8" t="n">
        <v>28</v>
      </c>
      <c r="G1094" s="8" t="n">
        <v>10</v>
      </c>
      <c r="H1094" s="9">
        <f>IF(F1094=0,"",G1094/F1094)</f>
        <v/>
      </c>
    </row>
    <row r="1095">
      <c r="A1095" s="10" t="inlineStr">
        <is>
          <t>Simulado 02</t>
        </is>
      </c>
      <c r="B1095" s="11" t="n">
        <v>21</v>
      </c>
      <c r="C1095" s="11" t="inlineStr">
        <is>
          <t>6ª Fase</t>
        </is>
      </c>
      <c r="D1095" s="11" t="inlineStr">
        <is>
          <t>B</t>
        </is>
      </c>
      <c r="E1095" s="11" t="inlineStr">
        <is>
          <t>Não</t>
        </is>
      </c>
      <c r="F1095" s="11" t="n">
        <v>28</v>
      </c>
      <c r="G1095" s="11" t="n">
        <v>1</v>
      </c>
      <c r="H1095" s="12">
        <f>IF(F1095=0,"",G1095/F1095)</f>
        <v/>
      </c>
    </row>
    <row r="1096">
      <c r="A1096" s="7" t="inlineStr">
        <is>
          <t>Simulado 02</t>
        </is>
      </c>
      <c r="B1096" s="8" t="n">
        <v>21</v>
      </c>
      <c r="C1096" s="8" t="inlineStr">
        <is>
          <t>6ª Fase</t>
        </is>
      </c>
      <c r="D1096" s="8" t="inlineStr">
        <is>
          <t>C</t>
        </is>
      </c>
      <c r="E1096" s="8" t="inlineStr">
        <is>
          <t>Não</t>
        </is>
      </c>
      <c r="F1096" s="8" t="n">
        <v>28</v>
      </c>
      <c r="G1096" s="8" t="n">
        <v>4</v>
      </c>
      <c r="H1096" s="9">
        <f>IF(F1096=0,"",G1096/F1096)</f>
        <v/>
      </c>
    </row>
    <row r="1097">
      <c r="A1097" s="10" t="inlineStr">
        <is>
          <t>Simulado 02</t>
        </is>
      </c>
      <c r="B1097" s="11" t="n">
        <v>21</v>
      </c>
      <c r="C1097" s="11" t="inlineStr">
        <is>
          <t>6ª Fase</t>
        </is>
      </c>
      <c r="D1097" s="11" t="inlineStr">
        <is>
          <t>D</t>
        </is>
      </c>
      <c r="E1097" s="11" t="inlineStr">
        <is>
          <t>Não</t>
        </is>
      </c>
      <c r="F1097" s="11" t="n">
        <v>28</v>
      </c>
      <c r="G1097" s="11" t="n">
        <v>13</v>
      </c>
      <c r="H1097" s="12">
        <f>IF(F1097=0,"",G1097/F1097)</f>
        <v/>
      </c>
    </row>
    <row r="1098">
      <c r="A1098" s="7" t="inlineStr">
        <is>
          <t>Simulado 02</t>
        </is>
      </c>
      <c r="B1098" s="8" t="n">
        <v>21</v>
      </c>
      <c r="C1098" s="8" t="inlineStr">
        <is>
          <t>7ª Fase</t>
        </is>
      </c>
      <c r="D1098" s="8" t="inlineStr">
        <is>
          <t>A</t>
        </is>
      </c>
      <c r="E1098" s="8" t="inlineStr">
        <is>
          <t>Sim</t>
        </is>
      </c>
      <c r="F1098" s="8" t="n">
        <v>32</v>
      </c>
      <c r="G1098" s="8" t="n">
        <v>17</v>
      </c>
      <c r="H1098" s="9">
        <f>IF(F1098=0,"",G1098/F1098)</f>
        <v/>
      </c>
    </row>
    <row r="1099">
      <c r="A1099" s="10" t="inlineStr">
        <is>
          <t>Simulado 02</t>
        </is>
      </c>
      <c r="B1099" s="11" t="n">
        <v>21</v>
      </c>
      <c r="C1099" s="11" t="inlineStr">
        <is>
          <t>7ª Fase</t>
        </is>
      </c>
      <c r="D1099" s="11" t="inlineStr">
        <is>
          <t>B</t>
        </is>
      </c>
      <c r="E1099" s="11" t="inlineStr">
        <is>
          <t>Não</t>
        </is>
      </c>
      <c r="F1099" s="11" t="n">
        <v>32</v>
      </c>
      <c r="G1099" s="11" t="n">
        <v>2</v>
      </c>
      <c r="H1099" s="12">
        <f>IF(F1099=0,"",G1099/F1099)</f>
        <v/>
      </c>
    </row>
    <row r="1100">
      <c r="A1100" s="7" t="inlineStr">
        <is>
          <t>Simulado 02</t>
        </is>
      </c>
      <c r="B1100" s="8" t="n">
        <v>21</v>
      </c>
      <c r="C1100" s="8" t="inlineStr">
        <is>
          <t>7ª Fase</t>
        </is>
      </c>
      <c r="D1100" s="8" t="inlineStr">
        <is>
          <t>C</t>
        </is>
      </c>
      <c r="E1100" s="8" t="inlineStr">
        <is>
          <t>Não</t>
        </is>
      </c>
      <c r="F1100" s="8" t="n">
        <v>32</v>
      </c>
      <c r="G1100" s="8" t="n">
        <v>4</v>
      </c>
      <c r="H1100" s="9">
        <f>IF(F1100=0,"",G1100/F1100)</f>
        <v/>
      </c>
    </row>
    <row r="1101">
      <c r="A1101" s="10" t="inlineStr">
        <is>
          <t>Simulado 02</t>
        </is>
      </c>
      <c r="B1101" s="11" t="n">
        <v>21</v>
      </c>
      <c r="C1101" s="11" t="inlineStr">
        <is>
          <t>7ª Fase</t>
        </is>
      </c>
      <c r="D1101" s="11" t="inlineStr">
        <is>
          <t>D</t>
        </is>
      </c>
      <c r="E1101" s="11" t="inlineStr">
        <is>
          <t>Não</t>
        </is>
      </c>
      <c r="F1101" s="11" t="n">
        <v>32</v>
      </c>
      <c r="G1101" s="11" t="n">
        <v>9</v>
      </c>
      <c r="H1101" s="12">
        <f>IF(F1101=0,"",G1101/F1101)</f>
        <v/>
      </c>
    </row>
    <row r="1102">
      <c r="A1102" s="7" t="inlineStr">
        <is>
          <t>Simulado 02</t>
        </is>
      </c>
      <c r="B1102" s="8" t="n">
        <v>21</v>
      </c>
      <c r="C1102" s="8" t="inlineStr">
        <is>
          <t>10ª Fase</t>
        </is>
      </c>
      <c r="D1102" s="8" t="inlineStr">
        <is>
          <t>A</t>
        </is>
      </c>
      <c r="E1102" s="8" t="inlineStr">
        <is>
          <t>Sim</t>
        </is>
      </c>
      <c r="F1102" s="8" t="n">
        <v>31</v>
      </c>
      <c r="G1102" s="8" t="n">
        <v>22</v>
      </c>
      <c r="H1102" s="9">
        <f>IF(F1102=0,"",G1102/F1102)</f>
        <v/>
      </c>
    </row>
    <row r="1103">
      <c r="A1103" s="10" t="inlineStr">
        <is>
          <t>Simulado 02</t>
        </is>
      </c>
      <c r="B1103" s="11" t="n">
        <v>21</v>
      </c>
      <c r="C1103" s="11" t="inlineStr">
        <is>
          <t>10ª Fase</t>
        </is>
      </c>
      <c r="D1103" s="11" t="inlineStr">
        <is>
          <t>B</t>
        </is>
      </c>
      <c r="E1103" s="11" t="inlineStr">
        <is>
          <t>Não</t>
        </is>
      </c>
      <c r="F1103" s="11" t="n">
        <v>31</v>
      </c>
      <c r="G1103" s="11" t="n">
        <v>1</v>
      </c>
      <c r="H1103" s="12">
        <f>IF(F1103=0,"",G1103/F1103)</f>
        <v/>
      </c>
    </row>
    <row r="1104">
      <c r="A1104" s="7" t="inlineStr">
        <is>
          <t>Simulado 02</t>
        </is>
      </c>
      <c r="B1104" s="8" t="n">
        <v>21</v>
      </c>
      <c r="C1104" s="8" t="inlineStr">
        <is>
          <t>10ª Fase</t>
        </is>
      </c>
      <c r="D1104" s="8" t="inlineStr">
        <is>
          <t>C</t>
        </is>
      </c>
      <c r="E1104" s="8" t="inlineStr">
        <is>
          <t>Não</t>
        </is>
      </c>
      <c r="F1104" s="8" t="n">
        <v>31</v>
      </c>
      <c r="G1104" s="8" t="n">
        <v>0</v>
      </c>
      <c r="H1104" s="9">
        <f>IF(F1104=0,"",G1104/F1104)</f>
        <v/>
      </c>
    </row>
    <row r="1105">
      <c r="A1105" s="10" t="inlineStr">
        <is>
          <t>Simulado 02</t>
        </is>
      </c>
      <c r="B1105" s="11" t="n">
        <v>21</v>
      </c>
      <c r="C1105" s="11" t="inlineStr">
        <is>
          <t>10ª Fase</t>
        </is>
      </c>
      <c r="D1105" s="11" t="inlineStr">
        <is>
          <t>D</t>
        </is>
      </c>
      <c r="E1105" s="11" t="inlineStr">
        <is>
          <t>Não</t>
        </is>
      </c>
      <c r="F1105" s="11" t="n">
        <v>31</v>
      </c>
      <c r="G1105" s="11" t="n">
        <v>8</v>
      </c>
      <c r="H1105" s="12">
        <f>IF(F1105=0,"",G1105/F1105)</f>
        <v/>
      </c>
    </row>
    <row r="1106">
      <c r="A1106" s="7" t="inlineStr">
        <is>
          <t>Simulado 02</t>
        </is>
      </c>
      <c r="B1106" s="8" t="n">
        <v>21</v>
      </c>
      <c r="C1106" s="8" t="inlineStr">
        <is>
          <t>11ª Fase</t>
        </is>
      </c>
      <c r="D1106" s="8" t="inlineStr">
        <is>
          <t>A</t>
        </is>
      </c>
      <c r="E1106" s="8" t="inlineStr">
        <is>
          <t>Sim</t>
        </is>
      </c>
      <c r="F1106" s="8" t="n">
        <v>29</v>
      </c>
      <c r="G1106" s="8" t="n">
        <v>22</v>
      </c>
      <c r="H1106" s="9">
        <f>IF(F1106=0,"",G1106/F1106)</f>
        <v/>
      </c>
    </row>
    <row r="1107">
      <c r="A1107" s="10" t="inlineStr">
        <is>
          <t>Simulado 02</t>
        </is>
      </c>
      <c r="B1107" s="11" t="n">
        <v>21</v>
      </c>
      <c r="C1107" s="11" t="inlineStr">
        <is>
          <t>11ª Fase</t>
        </is>
      </c>
      <c r="D1107" s="11" t="inlineStr">
        <is>
          <t>B</t>
        </is>
      </c>
      <c r="E1107" s="11" t="inlineStr">
        <is>
          <t>Não</t>
        </is>
      </c>
      <c r="F1107" s="11" t="n">
        <v>29</v>
      </c>
      <c r="G1107" s="11" t="n">
        <v>0</v>
      </c>
      <c r="H1107" s="12">
        <f>IF(F1107=0,"",G1107/F1107)</f>
        <v/>
      </c>
    </row>
    <row r="1108">
      <c r="A1108" s="7" t="inlineStr">
        <is>
          <t>Simulado 02</t>
        </is>
      </c>
      <c r="B1108" s="8" t="n">
        <v>21</v>
      </c>
      <c r="C1108" s="8" t="inlineStr">
        <is>
          <t>11ª Fase</t>
        </is>
      </c>
      <c r="D1108" s="8" t="inlineStr">
        <is>
          <t>C</t>
        </is>
      </c>
      <c r="E1108" s="8" t="inlineStr">
        <is>
          <t>Não</t>
        </is>
      </c>
      <c r="F1108" s="8" t="n">
        <v>29</v>
      </c>
      <c r="G1108" s="8" t="n">
        <v>1</v>
      </c>
      <c r="H1108" s="9">
        <f>IF(F1108=0,"",G1108/F1108)</f>
        <v/>
      </c>
    </row>
    <row r="1109">
      <c r="A1109" s="10" t="inlineStr">
        <is>
          <t>Simulado 02</t>
        </is>
      </c>
      <c r="B1109" s="11" t="n">
        <v>21</v>
      </c>
      <c r="C1109" s="11" t="inlineStr">
        <is>
          <t>11ª Fase</t>
        </is>
      </c>
      <c r="D1109" s="11" t="inlineStr">
        <is>
          <t>D</t>
        </is>
      </c>
      <c r="E1109" s="11" t="inlineStr">
        <is>
          <t>Não</t>
        </is>
      </c>
      <c r="F1109" s="11" t="n">
        <v>29</v>
      </c>
      <c r="G1109" s="11" t="n">
        <v>6</v>
      </c>
      <c r="H1109" s="12">
        <f>IF(F1109=0,"",G1109/F1109)</f>
        <v/>
      </c>
    </row>
    <row r="1110">
      <c r="A1110" s="7" t="inlineStr">
        <is>
          <t>Simulado 02</t>
        </is>
      </c>
      <c r="B1110" s="8" t="n">
        <v>22</v>
      </c>
      <c r="C1110" s="8" t="inlineStr">
        <is>
          <t>6ª Fase</t>
        </is>
      </c>
      <c r="D1110" s="8" t="inlineStr">
        <is>
          <t>A</t>
        </is>
      </c>
      <c r="E1110" s="8" t="inlineStr">
        <is>
          <t>Não</t>
        </is>
      </c>
      <c r="F1110" s="8" t="n">
        <v>28</v>
      </c>
      <c r="G1110" s="8" t="n">
        <v>0</v>
      </c>
      <c r="H1110" s="9">
        <f>IF(F1110=0,"",G1110/F1110)</f>
        <v/>
      </c>
    </row>
    <row r="1111">
      <c r="A1111" s="10" t="inlineStr">
        <is>
          <t>Simulado 02</t>
        </is>
      </c>
      <c r="B1111" s="11" t="n">
        <v>22</v>
      </c>
      <c r="C1111" s="11" t="inlineStr">
        <is>
          <t>6ª Fase</t>
        </is>
      </c>
      <c r="D1111" s="11" t="inlineStr">
        <is>
          <t>B</t>
        </is>
      </c>
      <c r="E1111" s="11" t="inlineStr">
        <is>
          <t>Não</t>
        </is>
      </c>
      <c r="F1111" s="11" t="n">
        <v>28</v>
      </c>
      <c r="G1111" s="11" t="n">
        <v>17</v>
      </c>
      <c r="H1111" s="12">
        <f>IF(F1111=0,"",G1111/F1111)</f>
        <v/>
      </c>
    </row>
    <row r="1112">
      <c r="A1112" s="7" t="inlineStr">
        <is>
          <t>Simulado 02</t>
        </is>
      </c>
      <c r="B1112" s="8" t="n">
        <v>22</v>
      </c>
      <c r="C1112" s="8" t="inlineStr">
        <is>
          <t>6ª Fase</t>
        </is>
      </c>
      <c r="D1112" s="8" t="inlineStr">
        <is>
          <t>C</t>
        </is>
      </c>
      <c r="E1112" s="8" t="inlineStr">
        <is>
          <t>Sim</t>
        </is>
      </c>
      <c r="F1112" s="8" t="n">
        <v>28</v>
      </c>
      <c r="G1112" s="8" t="n">
        <v>11</v>
      </c>
      <c r="H1112" s="9">
        <f>IF(F1112=0,"",G1112/F1112)</f>
        <v/>
      </c>
    </row>
    <row r="1113">
      <c r="A1113" s="10" t="inlineStr">
        <is>
          <t>Simulado 02</t>
        </is>
      </c>
      <c r="B1113" s="11" t="n">
        <v>22</v>
      </c>
      <c r="C1113" s="11" t="inlineStr">
        <is>
          <t>6ª Fase</t>
        </is>
      </c>
      <c r="D1113" s="11" t="inlineStr">
        <is>
          <t>D</t>
        </is>
      </c>
      <c r="E1113" s="11" t="inlineStr">
        <is>
          <t>Não</t>
        </is>
      </c>
      <c r="F1113" s="11" t="n">
        <v>28</v>
      </c>
      <c r="G1113" s="11" t="n">
        <v>0</v>
      </c>
      <c r="H1113" s="12">
        <f>IF(F1113=0,"",G1113/F1113)</f>
        <v/>
      </c>
    </row>
    <row r="1114">
      <c r="A1114" s="7" t="inlineStr">
        <is>
          <t>Simulado 02</t>
        </is>
      </c>
      <c r="B1114" s="8" t="n">
        <v>22</v>
      </c>
      <c r="C1114" s="8" t="inlineStr">
        <is>
          <t>7ª Fase</t>
        </is>
      </c>
      <c r="D1114" s="8" t="inlineStr">
        <is>
          <t>A</t>
        </is>
      </c>
      <c r="E1114" s="8" t="inlineStr">
        <is>
          <t>Não</t>
        </is>
      </c>
      <c r="F1114" s="8" t="n">
        <v>32</v>
      </c>
      <c r="G1114" s="8" t="n">
        <v>0</v>
      </c>
      <c r="H1114" s="9">
        <f>IF(F1114=0,"",G1114/F1114)</f>
        <v/>
      </c>
    </row>
    <row r="1115">
      <c r="A1115" s="10" t="inlineStr">
        <is>
          <t>Simulado 02</t>
        </is>
      </c>
      <c r="B1115" s="11" t="n">
        <v>22</v>
      </c>
      <c r="C1115" s="11" t="inlineStr">
        <is>
          <t>7ª Fase</t>
        </is>
      </c>
      <c r="D1115" s="11" t="inlineStr">
        <is>
          <t>B</t>
        </is>
      </c>
      <c r="E1115" s="11" t="inlineStr">
        <is>
          <t>Não</t>
        </is>
      </c>
      <c r="F1115" s="11" t="n">
        <v>32</v>
      </c>
      <c r="G1115" s="11" t="n">
        <v>10</v>
      </c>
      <c r="H1115" s="12">
        <f>IF(F1115=0,"",G1115/F1115)</f>
        <v/>
      </c>
    </row>
    <row r="1116">
      <c r="A1116" s="7" t="inlineStr">
        <is>
          <t>Simulado 02</t>
        </is>
      </c>
      <c r="B1116" s="8" t="n">
        <v>22</v>
      </c>
      <c r="C1116" s="8" t="inlineStr">
        <is>
          <t>7ª Fase</t>
        </is>
      </c>
      <c r="D1116" s="8" t="inlineStr">
        <is>
          <t>C</t>
        </is>
      </c>
      <c r="E1116" s="8" t="inlineStr">
        <is>
          <t>Sim</t>
        </is>
      </c>
      <c r="F1116" s="8" t="n">
        <v>32</v>
      </c>
      <c r="G1116" s="8" t="n">
        <v>22</v>
      </c>
      <c r="H1116" s="9">
        <f>IF(F1116=0,"",G1116/F1116)</f>
        <v/>
      </c>
    </row>
    <row r="1117">
      <c r="A1117" s="10" t="inlineStr">
        <is>
          <t>Simulado 02</t>
        </is>
      </c>
      <c r="B1117" s="11" t="n">
        <v>22</v>
      </c>
      <c r="C1117" s="11" t="inlineStr">
        <is>
          <t>7ª Fase</t>
        </is>
      </c>
      <c r="D1117" s="11" t="inlineStr">
        <is>
          <t>D</t>
        </is>
      </c>
      <c r="E1117" s="11" t="inlineStr">
        <is>
          <t>Não</t>
        </is>
      </c>
      <c r="F1117" s="11" t="n">
        <v>32</v>
      </c>
      <c r="G1117" s="11" t="n">
        <v>0</v>
      </c>
      <c r="H1117" s="12">
        <f>IF(F1117=0,"",G1117/F1117)</f>
        <v/>
      </c>
    </row>
    <row r="1118">
      <c r="A1118" s="7" t="inlineStr">
        <is>
          <t>Simulado 02</t>
        </is>
      </c>
      <c r="B1118" s="8" t="n">
        <v>22</v>
      </c>
      <c r="C1118" s="8" t="inlineStr">
        <is>
          <t>10ª Fase</t>
        </is>
      </c>
      <c r="D1118" s="8" t="inlineStr">
        <is>
          <t>A</t>
        </is>
      </c>
      <c r="E1118" s="8" t="inlineStr">
        <is>
          <t>Não</t>
        </is>
      </c>
      <c r="F1118" s="8" t="n">
        <v>31</v>
      </c>
      <c r="G1118" s="8" t="n">
        <v>0</v>
      </c>
      <c r="H1118" s="9">
        <f>IF(F1118=0,"",G1118/F1118)</f>
        <v/>
      </c>
    </row>
    <row r="1119">
      <c r="A1119" s="10" t="inlineStr">
        <is>
          <t>Simulado 02</t>
        </is>
      </c>
      <c r="B1119" s="11" t="n">
        <v>22</v>
      </c>
      <c r="C1119" s="11" t="inlineStr">
        <is>
          <t>10ª Fase</t>
        </is>
      </c>
      <c r="D1119" s="11" t="inlineStr">
        <is>
          <t>B</t>
        </is>
      </c>
      <c r="E1119" s="11" t="inlineStr">
        <is>
          <t>Não</t>
        </is>
      </c>
      <c r="F1119" s="11" t="n">
        <v>31</v>
      </c>
      <c r="G1119" s="11" t="n">
        <v>11</v>
      </c>
      <c r="H1119" s="12">
        <f>IF(F1119=0,"",G1119/F1119)</f>
        <v/>
      </c>
    </row>
    <row r="1120">
      <c r="A1120" s="7" t="inlineStr">
        <is>
          <t>Simulado 02</t>
        </is>
      </c>
      <c r="B1120" s="8" t="n">
        <v>22</v>
      </c>
      <c r="C1120" s="8" t="inlineStr">
        <is>
          <t>10ª Fase</t>
        </is>
      </c>
      <c r="D1120" s="8" t="inlineStr">
        <is>
          <t>C</t>
        </is>
      </c>
      <c r="E1120" s="8" t="inlineStr">
        <is>
          <t>Sim</t>
        </is>
      </c>
      <c r="F1120" s="8" t="n">
        <v>31</v>
      </c>
      <c r="G1120" s="8" t="n">
        <v>20</v>
      </c>
      <c r="H1120" s="9">
        <f>IF(F1120=0,"",G1120/F1120)</f>
        <v/>
      </c>
    </row>
    <row r="1121">
      <c r="A1121" s="10" t="inlineStr">
        <is>
          <t>Simulado 02</t>
        </is>
      </c>
      <c r="B1121" s="11" t="n">
        <v>22</v>
      </c>
      <c r="C1121" s="11" t="inlineStr">
        <is>
          <t>10ª Fase</t>
        </is>
      </c>
      <c r="D1121" s="11" t="inlineStr">
        <is>
          <t>D</t>
        </is>
      </c>
      <c r="E1121" s="11" t="inlineStr">
        <is>
          <t>Não</t>
        </is>
      </c>
      <c r="F1121" s="11" t="n">
        <v>31</v>
      </c>
      <c r="G1121" s="11" t="n">
        <v>0</v>
      </c>
      <c r="H1121" s="12">
        <f>IF(F1121=0,"",G1121/F1121)</f>
        <v/>
      </c>
    </row>
    <row r="1122">
      <c r="A1122" s="7" t="inlineStr">
        <is>
          <t>Simulado 02</t>
        </is>
      </c>
      <c r="B1122" s="8" t="n">
        <v>22</v>
      </c>
      <c r="C1122" s="8" t="inlineStr">
        <is>
          <t>11ª Fase</t>
        </is>
      </c>
      <c r="D1122" s="8" t="inlineStr">
        <is>
          <t>A</t>
        </is>
      </c>
      <c r="E1122" s="8" t="inlineStr">
        <is>
          <t>Não</t>
        </is>
      </c>
      <c r="F1122" s="8" t="n">
        <v>29</v>
      </c>
      <c r="G1122" s="8" t="n">
        <v>0</v>
      </c>
      <c r="H1122" s="9">
        <f>IF(F1122=0,"",G1122/F1122)</f>
        <v/>
      </c>
    </row>
    <row r="1123">
      <c r="A1123" s="10" t="inlineStr">
        <is>
          <t>Simulado 02</t>
        </is>
      </c>
      <c r="B1123" s="11" t="n">
        <v>22</v>
      </c>
      <c r="C1123" s="11" t="inlineStr">
        <is>
          <t>11ª Fase</t>
        </is>
      </c>
      <c r="D1123" s="11" t="inlineStr">
        <is>
          <t>B</t>
        </is>
      </c>
      <c r="E1123" s="11" t="inlineStr">
        <is>
          <t>Não</t>
        </is>
      </c>
      <c r="F1123" s="11" t="n">
        <v>29</v>
      </c>
      <c r="G1123" s="11" t="n">
        <v>9</v>
      </c>
      <c r="H1123" s="12">
        <f>IF(F1123=0,"",G1123/F1123)</f>
        <v/>
      </c>
    </row>
    <row r="1124">
      <c r="A1124" s="7" t="inlineStr">
        <is>
          <t>Simulado 02</t>
        </is>
      </c>
      <c r="B1124" s="8" t="n">
        <v>22</v>
      </c>
      <c r="C1124" s="8" t="inlineStr">
        <is>
          <t>11ª Fase</t>
        </is>
      </c>
      <c r="D1124" s="8" t="inlineStr">
        <is>
          <t>C</t>
        </is>
      </c>
      <c r="E1124" s="8" t="inlineStr">
        <is>
          <t>Sim</t>
        </is>
      </c>
      <c r="F1124" s="8" t="n">
        <v>29</v>
      </c>
      <c r="G1124" s="8" t="n">
        <v>20</v>
      </c>
      <c r="H1124" s="9">
        <f>IF(F1124=0,"",G1124/F1124)</f>
        <v/>
      </c>
    </row>
    <row r="1125">
      <c r="A1125" s="10" t="inlineStr">
        <is>
          <t>Simulado 02</t>
        </is>
      </c>
      <c r="B1125" s="11" t="n">
        <v>22</v>
      </c>
      <c r="C1125" s="11" t="inlineStr">
        <is>
          <t>11ª Fase</t>
        </is>
      </c>
      <c r="D1125" s="11" t="inlineStr">
        <is>
          <t>D</t>
        </is>
      </c>
      <c r="E1125" s="11" t="inlineStr">
        <is>
          <t>Não</t>
        </is>
      </c>
      <c r="F1125" s="11" t="n">
        <v>29</v>
      </c>
      <c r="G1125" s="11" t="n">
        <v>0</v>
      </c>
      <c r="H1125" s="12">
        <f>IF(F1125=0,"",G1125/F1125)</f>
        <v/>
      </c>
    </row>
    <row r="1126">
      <c r="A1126" s="7" t="inlineStr">
        <is>
          <t>Simulado 02</t>
        </is>
      </c>
      <c r="B1126" s="8" t="n">
        <v>23</v>
      </c>
      <c r="C1126" s="8" t="inlineStr">
        <is>
          <t>6ª Fase</t>
        </is>
      </c>
      <c r="D1126" s="8" t="inlineStr">
        <is>
          <t>A</t>
        </is>
      </c>
      <c r="E1126" s="8" t="inlineStr">
        <is>
          <t>Não</t>
        </is>
      </c>
      <c r="F1126" s="8" t="n">
        <v>28</v>
      </c>
      <c r="G1126" s="8" t="n">
        <v>2</v>
      </c>
      <c r="H1126" s="9">
        <f>IF(F1126=0,"",G1126/F1126)</f>
        <v/>
      </c>
    </row>
    <row r="1127">
      <c r="A1127" s="10" t="inlineStr">
        <is>
          <t>Simulado 02</t>
        </is>
      </c>
      <c r="B1127" s="11" t="n">
        <v>23</v>
      </c>
      <c r="C1127" s="11" t="inlineStr">
        <is>
          <t>6ª Fase</t>
        </is>
      </c>
      <c r="D1127" s="11" t="inlineStr">
        <is>
          <t>B</t>
        </is>
      </c>
      <c r="E1127" s="11" t="inlineStr">
        <is>
          <t>Não</t>
        </is>
      </c>
      <c r="F1127" s="11" t="n">
        <v>28</v>
      </c>
      <c r="G1127" s="11" t="n">
        <v>9</v>
      </c>
      <c r="H1127" s="12">
        <f>IF(F1127=0,"",G1127/F1127)</f>
        <v/>
      </c>
    </row>
    <row r="1128">
      <c r="A1128" s="7" t="inlineStr">
        <is>
          <t>Simulado 02</t>
        </is>
      </c>
      <c r="B1128" s="8" t="n">
        <v>23</v>
      </c>
      <c r="C1128" s="8" t="inlineStr">
        <is>
          <t>6ª Fase</t>
        </is>
      </c>
      <c r="D1128" s="8" t="inlineStr">
        <is>
          <t>C</t>
        </is>
      </c>
      <c r="E1128" s="8" t="inlineStr">
        <is>
          <t>Não</t>
        </is>
      </c>
      <c r="F1128" s="8" t="n">
        <v>28</v>
      </c>
      <c r="G1128" s="8" t="n">
        <v>0</v>
      </c>
      <c r="H1128" s="9">
        <f>IF(F1128=0,"",G1128/F1128)</f>
        <v/>
      </c>
    </row>
    <row r="1129">
      <c r="A1129" s="10" t="inlineStr">
        <is>
          <t>Simulado 02</t>
        </is>
      </c>
      <c r="B1129" s="11" t="n">
        <v>23</v>
      </c>
      <c r="C1129" s="11" t="inlineStr">
        <is>
          <t>6ª Fase</t>
        </is>
      </c>
      <c r="D1129" s="11" t="inlineStr">
        <is>
          <t>D</t>
        </is>
      </c>
      <c r="E1129" s="11" t="inlineStr">
        <is>
          <t>Sim</t>
        </is>
      </c>
      <c r="F1129" s="11" t="n">
        <v>28</v>
      </c>
      <c r="G1129" s="11" t="n">
        <v>17</v>
      </c>
      <c r="H1129" s="12">
        <f>IF(F1129=0,"",G1129/F1129)</f>
        <v/>
      </c>
    </row>
    <row r="1130">
      <c r="A1130" s="7" t="inlineStr">
        <is>
          <t>Simulado 02</t>
        </is>
      </c>
      <c r="B1130" s="8" t="n">
        <v>23</v>
      </c>
      <c r="C1130" s="8" t="inlineStr">
        <is>
          <t>7ª Fase</t>
        </is>
      </c>
      <c r="D1130" s="8" t="inlineStr">
        <is>
          <t>A</t>
        </is>
      </c>
      <c r="E1130" s="8" t="inlineStr">
        <is>
          <t>Não</t>
        </is>
      </c>
      <c r="F1130" s="8" t="n">
        <v>32</v>
      </c>
      <c r="G1130" s="8" t="n">
        <v>5</v>
      </c>
      <c r="H1130" s="9">
        <f>IF(F1130=0,"",G1130/F1130)</f>
        <v/>
      </c>
    </row>
    <row r="1131">
      <c r="A1131" s="10" t="inlineStr">
        <is>
          <t>Simulado 02</t>
        </is>
      </c>
      <c r="B1131" s="11" t="n">
        <v>23</v>
      </c>
      <c r="C1131" s="11" t="inlineStr">
        <is>
          <t>7ª Fase</t>
        </is>
      </c>
      <c r="D1131" s="11" t="inlineStr">
        <is>
          <t>B</t>
        </is>
      </c>
      <c r="E1131" s="11" t="inlineStr">
        <is>
          <t>Não</t>
        </is>
      </c>
      <c r="F1131" s="11" t="n">
        <v>32</v>
      </c>
      <c r="G1131" s="11" t="n">
        <v>4</v>
      </c>
      <c r="H1131" s="12">
        <f>IF(F1131=0,"",G1131/F1131)</f>
        <v/>
      </c>
    </row>
    <row r="1132">
      <c r="A1132" s="7" t="inlineStr">
        <is>
          <t>Simulado 02</t>
        </is>
      </c>
      <c r="B1132" s="8" t="n">
        <v>23</v>
      </c>
      <c r="C1132" s="8" t="inlineStr">
        <is>
          <t>7ª Fase</t>
        </is>
      </c>
      <c r="D1132" s="8" t="inlineStr">
        <is>
          <t>C</t>
        </is>
      </c>
      <c r="E1132" s="8" t="inlineStr">
        <is>
          <t>Não</t>
        </is>
      </c>
      <c r="F1132" s="8" t="n">
        <v>32</v>
      </c>
      <c r="G1132" s="8" t="n">
        <v>2</v>
      </c>
      <c r="H1132" s="9">
        <f>IF(F1132=0,"",G1132/F1132)</f>
        <v/>
      </c>
    </row>
    <row r="1133">
      <c r="A1133" s="10" t="inlineStr">
        <is>
          <t>Simulado 02</t>
        </is>
      </c>
      <c r="B1133" s="11" t="n">
        <v>23</v>
      </c>
      <c r="C1133" s="11" t="inlineStr">
        <is>
          <t>7ª Fase</t>
        </is>
      </c>
      <c r="D1133" s="11" t="inlineStr">
        <is>
          <t>D</t>
        </is>
      </c>
      <c r="E1133" s="11" t="inlineStr">
        <is>
          <t>Sim</t>
        </is>
      </c>
      <c r="F1133" s="11" t="n">
        <v>32</v>
      </c>
      <c r="G1133" s="11" t="n">
        <v>21</v>
      </c>
      <c r="H1133" s="12">
        <f>IF(F1133=0,"",G1133/F1133)</f>
        <v/>
      </c>
    </row>
    <row r="1134">
      <c r="A1134" s="7" t="inlineStr">
        <is>
          <t>Simulado 02</t>
        </is>
      </c>
      <c r="B1134" s="8" t="n">
        <v>23</v>
      </c>
      <c r="C1134" s="8" t="inlineStr">
        <is>
          <t>10ª Fase</t>
        </is>
      </c>
      <c r="D1134" s="8" t="inlineStr">
        <is>
          <t>A</t>
        </is>
      </c>
      <c r="E1134" s="8" t="inlineStr">
        <is>
          <t>Não</t>
        </is>
      </c>
      <c r="F1134" s="8" t="n">
        <v>31</v>
      </c>
      <c r="G1134" s="8" t="n">
        <v>1</v>
      </c>
      <c r="H1134" s="9">
        <f>IF(F1134=0,"",G1134/F1134)</f>
        <v/>
      </c>
    </row>
    <row r="1135">
      <c r="A1135" s="10" t="inlineStr">
        <is>
          <t>Simulado 02</t>
        </is>
      </c>
      <c r="B1135" s="11" t="n">
        <v>23</v>
      </c>
      <c r="C1135" s="11" t="inlineStr">
        <is>
          <t>10ª Fase</t>
        </is>
      </c>
      <c r="D1135" s="11" t="inlineStr">
        <is>
          <t>B</t>
        </is>
      </c>
      <c r="E1135" s="11" t="inlineStr">
        <is>
          <t>Não</t>
        </is>
      </c>
      <c r="F1135" s="11" t="n">
        <v>31</v>
      </c>
      <c r="G1135" s="11" t="n">
        <v>2</v>
      </c>
      <c r="H1135" s="12">
        <f>IF(F1135=0,"",G1135/F1135)</f>
        <v/>
      </c>
    </row>
    <row r="1136">
      <c r="A1136" s="7" t="inlineStr">
        <is>
          <t>Simulado 02</t>
        </is>
      </c>
      <c r="B1136" s="8" t="n">
        <v>23</v>
      </c>
      <c r="C1136" s="8" t="inlineStr">
        <is>
          <t>10ª Fase</t>
        </is>
      </c>
      <c r="D1136" s="8" t="inlineStr">
        <is>
          <t>C</t>
        </is>
      </c>
      <c r="E1136" s="8" t="inlineStr">
        <is>
          <t>Não</t>
        </is>
      </c>
      <c r="F1136" s="8" t="n">
        <v>31</v>
      </c>
      <c r="G1136" s="8" t="n">
        <v>1</v>
      </c>
      <c r="H1136" s="9">
        <f>IF(F1136=0,"",G1136/F1136)</f>
        <v/>
      </c>
    </row>
    <row r="1137">
      <c r="A1137" s="10" t="inlineStr">
        <is>
          <t>Simulado 02</t>
        </is>
      </c>
      <c r="B1137" s="11" t="n">
        <v>23</v>
      </c>
      <c r="C1137" s="11" t="inlineStr">
        <is>
          <t>10ª Fase</t>
        </is>
      </c>
      <c r="D1137" s="11" t="inlineStr">
        <is>
          <t>D</t>
        </is>
      </c>
      <c r="E1137" s="11" t="inlineStr">
        <is>
          <t>Sim</t>
        </is>
      </c>
      <c r="F1137" s="11" t="n">
        <v>31</v>
      </c>
      <c r="G1137" s="11" t="n">
        <v>27</v>
      </c>
      <c r="H1137" s="12">
        <f>IF(F1137=0,"",G1137/F1137)</f>
        <v/>
      </c>
    </row>
    <row r="1138">
      <c r="A1138" s="7" t="inlineStr">
        <is>
          <t>Simulado 02</t>
        </is>
      </c>
      <c r="B1138" s="8" t="n">
        <v>23</v>
      </c>
      <c r="C1138" s="8" t="inlineStr">
        <is>
          <t>11ª Fase</t>
        </is>
      </c>
      <c r="D1138" s="8" t="inlineStr">
        <is>
          <t>A</t>
        </is>
      </c>
      <c r="E1138" s="8" t="inlineStr">
        <is>
          <t>Não</t>
        </is>
      </c>
      <c r="F1138" s="8" t="n">
        <v>29</v>
      </c>
      <c r="G1138" s="8" t="n">
        <v>1</v>
      </c>
      <c r="H1138" s="9">
        <f>IF(F1138=0,"",G1138/F1138)</f>
        <v/>
      </c>
    </row>
    <row r="1139">
      <c r="A1139" s="10" t="inlineStr">
        <is>
          <t>Simulado 02</t>
        </is>
      </c>
      <c r="B1139" s="11" t="n">
        <v>23</v>
      </c>
      <c r="C1139" s="11" t="inlineStr">
        <is>
          <t>11ª Fase</t>
        </is>
      </c>
      <c r="D1139" s="11" t="inlineStr">
        <is>
          <t>B</t>
        </is>
      </c>
      <c r="E1139" s="11" t="inlineStr">
        <is>
          <t>Não</t>
        </is>
      </c>
      <c r="F1139" s="11" t="n">
        <v>29</v>
      </c>
      <c r="G1139" s="11" t="n">
        <v>1</v>
      </c>
      <c r="H1139" s="12">
        <f>IF(F1139=0,"",G1139/F1139)</f>
        <v/>
      </c>
    </row>
    <row r="1140">
      <c r="A1140" s="7" t="inlineStr">
        <is>
          <t>Simulado 02</t>
        </is>
      </c>
      <c r="B1140" s="8" t="n">
        <v>23</v>
      </c>
      <c r="C1140" s="8" t="inlineStr">
        <is>
          <t>11ª Fase</t>
        </is>
      </c>
      <c r="D1140" s="8" t="inlineStr">
        <is>
          <t>C</t>
        </is>
      </c>
      <c r="E1140" s="8" t="inlineStr">
        <is>
          <t>Não</t>
        </is>
      </c>
      <c r="F1140" s="8" t="n">
        <v>29</v>
      </c>
      <c r="G1140" s="8" t="n">
        <v>0</v>
      </c>
      <c r="H1140" s="9">
        <f>IF(F1140=0,"",G1140/F1140)</f>
        <v/>
      </c>
    </row>
    <row r="1141">
      <c r="A1141" s="10" t="inlineStr">
        <is>
          <t>Simulado 02</t>
        </is>
      </c>
      <c r="B1141" s="11" t="n">
        <v>23</v>
      </c>
      <c r="C1141" s="11" t="inlineStr">
        <is>
          <t>11ª Fase</t>
        </is>
      </c>
      <c r="D1141" s="11" t="inlineStr">
        <is>
          <t>D</t>
        </is>
      </c>
      <c r="E1141" s="11" t="inlineStr">
        <is>
          <t>Sim</t>
        </is>
      </c>
      <c r="F1141" s="11" t="n">
        <v>29</v>
      </c>
      <c r="G1141" s="11" t="n">
        <v>27</v>
      </c>
      <c r="H1141" s="12">
        <f>IF(F1141=0,"",G1141/F1141)</f>
        <v/>
      </c>
    </row>
    <row r="1142">
      <c r="A1142" s="7" t="inlineStr">
        <is>
          <t>Simulado 02</t>
        </is>
      </c>
      <c r="B1142" s="8" t="n">
        <v>24</v>
      </c>
      <c r="C1142" s="8" t="inlineStr">
        <is>
          <t>6ª Fase</t>
        </is>
      </c>
      <c r="D1142" s="8" t="inlineStr">
        <is>
          <t>A</t>
        </is>
      </c>
      <c r="E1142" s="8" t="inlineStr">
        <is>
          <t>Não</t>
        </is>
      </c>
      <c r="F1142" s="8" t="n">
        <v>28</v>
      </c>
      <c r="G1142" s="8" t="n">
        <v>1</v>
      </c>
      <c r="H1142" s="9">
        <f>IF(F1142=0,"",G1142/F1142)</f>
        <v/>
      </c>
    </row>
    <row r="1143">
      <c r="A1143" s="10" t="inlineStr">
        <is>
          <t>Simulado 02</t>
        </is>
      </c>
      <c r="B1143" s="11" t="n">
        <v>24</v>
      </c>
      <c r="C1143" s="11" t="inlineStr">
        <is>
          <t>6ª Fase</t>
        </is>
      </c>
      <c r="D1143" s="11" t="inlineStr">
        <is>
          <t>B</t>
        </is>
      </c>
      <c r="E1143" s="11" t="inlineStr">
        <is>
          <t>Não</t>
        </is>
      </c>
      <c r="F1143" s="11" t="n">
        <v>28</v>
      </c>
      <c r="G1143" s="11" t="n">
        <v>0</v>
      </c>
      <c r="H1143" s="12">
        <f>IF(F1143=0,"",G1143/F1143)</f>
        <v/>
      </c>
    </row>
    <row r="1144">
      <c r="A1144" s="7" t="inlineStr">
        <is>
          <t>Simulado 02</t>
        </is>
      </c>
      <c r="B1144" s="8" t="n">
        <v>24</v>
      </c>
      <c r="C1144" s="8" t="inlineStr">
        <is>
          <t>6ª Fase</t>
        </is>
      </c>
      <c r="D1144" s="8" t="inlineStr">
        <is>
          <t>C</t>
        </is>
      </c>
      <c r="E1144" s="8" t="inlineStr">
        <is>
          <t>Sim</t>
        </is>
      </c>
      <c r="F1144" s="8" t="n">
        <v>28</v>
      </c>
      <c r="G1144" s="8" t="n">
        <v>27</v>
      </c>
      <c r="H1144" s="9">
        <f>IF(F1144=0,"",G1144/F1144)</f>
        <v/>
      </c>
    </row>
    <row r="1145">
      <c r="A1145" s="10" t="inlineStr">
        <is>
          <t>Simulado 02</t>
        </is>
      </c>
      <c r="B1145" s="11" t="n">
        <v>24</v>
      </c>
      <c r="C1145" s="11" t="inlineStr">
        <is>
          <t>6ª Fase</t>
        </is>
      </c>
      <c r="D1145" s="11" t="inlineStr">
        <is>
          <t>D</t>
        </is>
      </c>
      <c r="E1145" s="11" t="inlineStr">
        <is>
          <t>Não</t>
        </is>
      </c>
      <c r="F1145" s="11" t="n">
        <v>28</v>
      </c>
      <c r="G1145" s="11" t="n">
        <v>0</v>
      </c>
      <c r="H1145" s="12">
        <f>IF(F1145=0,"",G1145/F1145)</f>
        <v/>
      </c>
    </row>
    <row r="1146">
      <c r="A1146" s="7" t="inlineStr">
        <is>
          <t>Simulado 02</t>
        </is>
      </c>
      <c r="B1146" s="8" t="n">
        <v>24</v>
      </c>
      <c r="C1146" s="8" t="inlineStr">
        <is>
          <t>7ª Fase</t>
        </is>
      </c>
      <c r="D1146" s="8" t="inlineStr">
        <is>
          <t>A</t>
        </is>
      </c>
      <c r="E1146" s="8" t="inlineStr">
        <is>
          <t>Não</t>
        </is>
      </c>
      <c r="F1146" s="8" t="n">
        <v>32</v>
      </c>
      <c r="G1146" s="8" t="n">
        <v>0</v>
      </c>
      <c r="H1146" s="9">
        <f>IF(F1146=0,"",G1146/F1146)</f>
        <v/>
      </c>
    </row>
    <row r="1147">
      <c r="A1147" s="10" t="inlineStr">
        <is>
          <t>Simulado 02</t>
        </is>
      </c>
      <c r="B1147" s="11" t="n">
        <v>24</v>
      </c>
      <c r="C1147" s="11" t="inlineStr">
        <is>
          <t>7ª Fase</t>
        </is>
      </c>
      <c r="D1147" s="11" t="inlineStr">
        <is>
          <t>B</t>
        </is>
      </c>
      <c r="E1147" s="11" t="inlineStr">
        <is>
          <t>Não</t>
        </is>
      </c>
      <c r="F1147" s="11" t="n">
        <v>32</v>
      </c>
      <c r="G1147" s="11" t="n">
        <v>0</v>
      </c>
      <c r="H1147" s="12">
        <f>IF(F1147=0,"",G1147/F1147)</f>
        <v/>
      </c>
    </row>
    <row r="1148">
      <c r="A1148" s="7" t="inlineStr">
        <is>
          <t>Simulado 02</t>
        </is>
      </c>
      <c r="B1148" s="8" t="n">
        <v>24</v>
      </c>
      <c r="C1148" s="8" t="inlineStr">
        <is>
          <t>7ª Fase</t>
        </is>
      </c>
      <c r="D1148" s="8" t="inlineStr">
        <is>
          <t>C</t>
        </is>
      </c>
      <c r="E1148" s="8" t="inlineStr">
        <is>
          <t>Sim</t>
        </is>
      </c>
      <c r="F1148" s="8" t="n">
        <v>32</v>
      </c>
      <c r="G1148" s="8" t="n">
        <v>29</v>
      </c>
      <c r="H1148" s="9">
        <f>IF(F1148=0,"",G1148/F1148)</f>
        <v/>
      </c>
    </row>
    <row r="1149">
      <c r="A1149" s="10" t="inlineStr">
        <is>
          <t>Simulado 02</t>
        </is>
      </c>
      <c r="B1149" s="11" t="n">
        <v>24</v>
      </c>
      <c r="C1149" s="11" t="inlineStr">
        <is>
          <t>7ª Fase</t>
        </is>
      </c>
      <c r="D1149" s="11" t="inlineStr">
        <is>
          <t>D</t>
        </is>
      </c>
      <c r="E1149" s="11" t="inlineStr">
        <is>
          <t>Não</t>
        </is>
      </c>
      <c r="F1149" s="11" t="n">
        <v>32</v>
      </c>
      <c r="G1149" s="11" t="n">
        <v>3</v>
      </c>
      <c r="H1149" s="12">
        <f>IF(F1149=0,"",G1149/F1149)</f>
        <v/>
      </c>
    </row>
    <row r="1150">
      <c r="A1150" s="7" t="inlineStr">
        <is>
          <t>Simulado 02</t>
        </is>
      </c>
      <c r="B1150" s="8" t="n">
        <v>24</v>
      </c>
      <c r="C1150" s="8" t="inlineStr">
        <is>
          <t>10ª Fase</t>
        </is>
      </c>
      <c r="D1150" s="8" t="inlineStr">
        <is>
          <t>A</t>
        </is>
      </c>
      <c r="E1150" s="8" t="inlineStr">
        <is>
          <t>Não</t>
        </is>
      </c>
      <c r="F1150" s="8" t="n">
        <v>31</v>
      </c>
      <c r="G1150" s="8" t="n">
        <v>0</v>
      </c>
      <c r="H1150" s="9">
        <f>IF(F1150=0,"",G1150/F1150)</f>
        <v/>
      </c>
    </row>
    <row r="1151">
      <c r="A1151" s="10" t="inlineStr">
        <is>
          <t>Simulado 02</t>
        </is>
      </c>
      <c r="B1151" s="11" t="n">
        <v>24</v>
      </c>
      <c r="C1151" s="11" t="inlineStr">
        <is>
          <t>10ª Fase</t>
        </is>
      </c>
      <c r="D1151" s="11" t="inlineStr">
        <is>
          <t>B</t>
        </is>
      </c>
      <c r="E1151" s="11" t="inlineStr">
        <is>
          <t>Não</t>
        </is>
      </c>
      <c r="F1151" s="11" t="n">
        <v>31</v>
      </c>
      <c r="G1151" s="11" t="n">
        <v>0</v>
      </c>
      <c r="H1151" s="12">
        <f>IF(F1151=0,"",G1151/F1151)</f>
        <v/>
      </c>
    </row>
    <row r="1152">
      <c r="A1152" s="7" t="inlineStr">
        <is>
          <t>Simulado 02</t>
        </is>
      </c>
      <c r="B1152" s="8" t="n">
        <v>24</v>
      </c>
      <c r="C1152" s="8" t="inlineStr">
        <is>
          <t>10ª Fase</t>
        </is>
      </c>
      <c r="D1152" s="8" t="inlineStr">
        <is>
          <t>C</t>
        </is>
      </c>
      <c r="E1152" s="8" t="inlineStr">
        <is>
          <t>Sim</t>
        </is>
      </c>
      <c r="F1152" s="8" t="n">
        <v>31</v>
      </c>
      <c r="G1152" s="8" t="n">
        <v>29</v>
      </c>
      <c r="H1152" s="9">
        <f>IF(F1152=0,"",G1152/F1152)</f>
        <v/>
      </c>
    </row>
    <row r="1153">
      <c r="A1153" s="10" t="inlineStr">
        <is>
          <t>Simulado 02</t>
        </is>
      </c>
      <c r="B1153" s="11" t="n">
        <v>24</v>
      </c>
      <c r="C1153" s="11" t="inlineStr">
        <is>
          <t>10ª Fase</t>
        </is>
      </c>
      <c r="D1153" s="11" t="inlineStr">
        <is>
          <t>D</t>
        </is>
      </c>
      <c r="E1153" s="11" t="inlineStr">
        <is>
          <t>Não</t>
        </is>
      </c>
      <c r="F1153" s="11" t="n">
        <v>31</v>
      </c>
      <c r="G1153" s="11" t="n">
        <v>2</v>
      </c>
      <c r="H1153" s="12">
        <f>IF(F1153=0,"",G1153/F1153)</f>
        <v/>
      </c>
    </row>
    <row r="1154">
      <c r="A1154" s="7" t="inlineStr">
        <is>
          <t>Simulado 02</t>
        </is>
      </c>
      <c r="B1154" s="8" t="n">
        <v>24</v>
      </c>
      <c r="C1154" s="8" t="inlineStr">
        <is>
          <t>11ª Fase</t>
        </is>
      </c>
      <c r="D1154" s="8" t="inlineStr">
        <is>
          <t>A</t>
        </is>
      </c>
      <c r="E1154" s="8" t="inlineStr">
        <is>
          <t>Não</t>
        </is>
      </c>
      <c r="F1154" s="8" t="n">
        <v>29</v>
      </c>
      <c r="G1154" s="8" t="n">
        <v>2</v>
      </c>
      <c r="H1154" s="9">
        <f>IF(F1154=0,"",G1154/F1154)</f>
        <v/>
      </c>
    </row>
    <row r="1155">
      <c r="A1155" s="10" t="inlineStr">
        <is>
          <t>Simulado 02</t>
        </is>
      </c>
      <c r="B1155" s="11" t="n">
        <v>24</v>
      </c>
      <c r="C1155" s="11" t="inlineStr">
        <is>
          <t>11ª Fase</t>
        </is>
      </c>
      <c r="D1155" s="11" t="inlineStr">
        <is>
          <t>B</t>
        </is>
      </c>
      <c r="E1155" s="11" t="inlineStr">
        <is>
          <t>Não</t>
        </is>
      </c>
      <c r="F1155" s="11" t="n">
        <v>29</v>
      </c>
      <c r="G1155" s="11" t="n">
        <v>0</v>
      </c>
      <c r="H1155" s="12">
        <f>IF(F1155=0,"",G1155/F1155)</f>
        <v/>
      </c>
    </row>
    <row r="1156">
      <c r="A1156" s="7" t="inlineStr">
        <is>
          <t>Simulado 02</t>
        </is>
      </c>
      <c r="B1156" s="8" t="n">
        <v>24</v>
      </c>
      <c r="C1156" s="8" t="inlineStr">
        <is>
          <t>11ª Fase</t>
        </is>
      </c>
      <c r="D1156" s="8" t="inlineStr">
        <is>
          <t>C</t>
        </is>
      </c>
      <c r="E1156" s="8" t="inlineStr">
        <is>
          <t>Sim</t>
        </is>
      </c>
      <c r="F1156" s="8" t="n">
        <v>29</v>
      </c>
      <c r="G1156" s="8" t="n">
        <v>27</v>
      </c>
      <c r="H1156" s="9">
        <f>IF(F1156=0,"",G1156/F1156)</f>
        <v/>
      </c>
    </row>
    <row r="1157">
      <c r="A1157" s="10" t="inlineStr">
        <is>
          <t>Simulado 02</t>
        </is>
      </c>
      <c r="B1157" s="11" t="n">
        <v>24</v>
      </c>
      <c r="C1157" s="11" t="inlineStr">
        <is>
          <t>11ª Fase</t>
        </is>
      </c>
      <c r="D1157" s="11" t="inlineStr">
        <is>
          <t>D</t>
        </is>
      </c>
      <c r="E1157" s="11" t="inlineStr">
        <is>
          <t>Não</t>
        </is>
      </c>
      <c r="F1157" s="11" t="n">
        <v>29</v>
      </c>
      <c r="G1157" s="11" t="n">
        <v>0</v>
      </c>
      <c r="H1157" s="12">
        <f>IF(F1157=0,"",G1157/F1157)</f>
        <v/>
      </c>
    </row>
    <row r="1158">
      <c r="A1158" s="7" t="inlineStr">
        <is>
          <t>Simulado 02</t>
        </is>
      </c>
      <c r="B1158" s="8" t="n">
        <v>25</v>
      </c>
      <c r="C1158" s="8" t="inlineStr">
        <is>
          <t>6ª Fase</t>
        </is>
      </c>
      <c r="D1158" s="8" t="inlineStr">
        <is>
          <t>A</t>
        </is>
      </c>
      <c r="E1158" s="8" t="inlineStr">
        <is>
          <t>Não</t>
        </is>
      </c>
      <c r="F1158" s="8" t="n">
        <v>28</v>
      </c>
      <c r="G1158" s="8" t="n">
        <v>0</v>
      </c>
      <c r="H1158" s="9">
        <f>IF(F1158=0,"",G1158/F1158)</f>
        <v/>
      </c>
    </row>
    <row r="1159">
      <c r="A1159" s="10" t="inlineStr">
        <is>
          <t>Simulado 02</t>
        </is>
      </c>
      <c r="B1159" s="11" t="n">
        <v>25</v>
      </c>
      <c r="C1159" s="11" t="inlineStr">
        <is>
          <t>6ª Fase</t>
        </is>
      </c>
      <c r="D1159" s="11" t="inlineStr">
        <is>
          <t>B</t>
        </is>
      </c>
      <c r="E1159" s="11" t="inlineStr">
        <is>
          <t>Sim</t>
        </is>
      </c>
      <c r="F1159" s="11" t="n">
        <v>28</v>
      </c>
      <c r="G1159" s="11" t="n">
        <v>6</v>
      </c>
      <c r="H1159" s="12">
        <f>IF(F1159=0,"",G1159/F1159)</f>
        <v/>
      </c>
    </row>
    <row r="1160">
      <c r="A1160" s="7" t="inlineStr">
        <is>
          <t>Simulado 02</t>
        </is>
      </c>
      <c r="B1160" s="8" t="n">
        <v>25</v>
      </c>
      <c r="C1160" s="8" t="inlineStr">
        <is>
          <t>6ª Fase</t>
        </is>
      </c>
      <c r="D1160" s="8" t="inlineStr">
        <is>
          <t>C</t>
        </is>
      </c>
      <c r="E1160" s="8" t="inlineStr">
        <is>
          <t>Não</t>
        </is>
      </c>
      <c r="F1160" s="8" t="n">
        <v>28</v>
      </c>
      <c r="G1160" s="8" t="n">
        <v>7</v>
      </c>
      <c r="H1160" s="9">
        <f>IF(F1160=0,"",G1160/F1160)</f>
        <v/>
      </c>
    </row>
    <row r="1161">
      <c r="A1161" s="10" t="inlineStr">
        <is>
          <t>Simulado 02</t>
        </is>
      </c>
      <c r="B1161" s="11" t="n">
        <v>25</v>
      </c>
      <c r="C1161" s="11" t="inlineStr">
        <is>
          <t>6ª Fase</t>
        </is>
      </c>
      <c r="D1161" s="11" t="inlineStr">
        <is>
          <t>D</t>
        </is>
      </c>
      <c r="E1161" s="11" t="inlineStr">
        <is>
          <t>Não</t>
        </is>
      </c>
      <c r="F1161" s="11" t="n">
        <v>28</v>
      </c>
      <c r="G1161" s="11" t="n">
        <v>15</v>
      </c>
      <c r="H1161" s="12">
        <f>IF(F1161=0,"",G1161/F1161)</f>
        <v/>
      </c>
    </row>
    <row r="1162">
      <c r="A1162" s="7" t="inlineStr">
        <is>
          <t>Simulado 02</t>
        </is>
      </c>
      <c r="B1162" s="8" t="n">
        <v>25</v>
      </c>
      <c r="C1162" s="8" t="inlineStr">
        <is>
          <t>7ª Fase</t>
        </is>
      </c>
      <c r="D1162" s="8" t="inlineStr">
        <is>
          <t>A</t>
        </is>
      </c>
      <c r="E1162" s="8" t="inlineStr">
        <is>
          <t>Não</t>
        </is>
      </c>
      <c r="F1162" s="8" t="n">
        <v>32</v>
      </c>
      <c r="G1162" s="8" t="n">
        <v>2</v>
      </c>
      <c r="H1162" s="9">
        <f>IF(F1162=0,"",G1162/F1162)</f>
        <v/>
      </c>
    </row>
    <row r="1163">
      <c r="A1163" s="10" t="inlineStr">
        <is>
          <t>Simulado 02</t>
        </is>
      </c>
      <c r="B1163" s="11" t="n">
        <v>25</v>
      </c>
      <c r="C1163" s="11" t="inlineStr">
        <is>
          <t>7ª Fase</t>
        </is>
      </c>
      <c r="D1163" s="11" t="inlineStr">
        <is>
          <t>B</t>
        </is>
      </c>
      <c r="E1163" s="11" t="inlineStr">
        <is>
          <t>Sim</t>
        </is>
      </c>
      <c r="F1163" s="11" t="n">
        <v>32</v>
      </c>
      <c r="G1163" s="11" t="n">
        <v>8</v>
      </c>
      <c r="H1163" s="12">
        <f>IF(F1163=0,"",G1163/F1163)</f>
        <v/>
      </c>
    </row>
    <row r="1164">
      <c r="A1164" s="7" t="inlineStr">
        <is>
          <t>Simulado 02</t>
        </is>
      </c>
      <c r="B1164" s="8" t="n">
        <v>25</v>
      </c>
      <c r="C1164" s="8" t="inlineStr">
        <is>
          <t>7ª Fase</t>
        </is>
      </c>
      <c r="D1164" s="8" t="inlineStr">
        <is>
          <t>C</t>
        </is>
      </c>
      <c r="E1164" s="8" t="inlineStr">
        <is>
          <t>Não</t>
        </is>
      </c>
      <c r="F1164" s="8" t="n">
        <v>32</v>
      </c>
      <c r="G1164" s="8" t="n">
        <v>6</v>
      </c>
      <c r="H1164" s="9">
        <f>IF(F1164=0,"",G1164/F1164)</f>
        <v/>
      </c>
    </row>
    <row r="1165">
      <c r="A1165" s="10" t="inlineStr">
        <is>
          <t>Simulado 02</t>
        </is>
      </c>
      <c r="B1165" s="11" t="n">
        <v>25</v>
      </c>
      <c r="C1165" s="11" t="inlineStr">
        <is>
          <t>7ª Fase</t>
        </is>
      </c>
      <c r="D1165" s="11" t="inlineStr">
        <is>
          <t>D</t>
        </is>
      </c>
      <c r="E1165" s="11" t="inlineStr">
        <is>
          <t>Não</t>
        </is>
      </c>
      <c r="F1165" s="11" t="n">
        <v>32</v>
      </c>
      <c r="G1165" s="11" t="n">
        <v>16</v>
      </c>
      <c r="H1165" s="12">
        <f>IF(F1165=0,"",G1165/F1165)</f>
        <v/>
      </c>
    </row>
    <row r="1166">
      <c r="A1166" s="7" t="inlineStr">
        <is>
          <t>Simulado 02</t>
        </is>
      </c>
      <c r="B1166" s="8" t="n">
        <v>25</v>
      </c>
      <c r="C1166" s="8" t="inlineStr">
        <is>
          <t>10ª Fase</t>
        </is>
      </c>
      <c r="D1166" s="8" t="inlineStr">
        <is>
          <t>A</t>
        </is>
      </c>
      <c r="E1166" s="8" t="inlineStr">
        <is>
          <t>Não</t>
        </is>
      </c>
      <c r="F1166" s="8" t="n">
        <v>31</v>
      </c>
      <c r="G1166" s="8" t="n">
        <v>0</v>
      </c>
      <c r="H1166" s="9">
        <f>IF(F1166=0,"",G1166/F1166)</f>
        <v/>
      </c>
    </row>
    <row r="1167">
      <c r="A1167" s="10" t="inlineStr">
        <is>
          <t>Simulado 02</t>
        </is>
      </c>
      <c r="B1167" s="11" t="n">
        <v>25</v>
      </c>
      <c r="C1167" s="11" t="inlineStr">
        <is>
          <t>10ª Fase</t>
        </is>
      </c>
      <c r="D1167" s="11" t="inlineStr">
        <is>
          <t>B</t>
        </is>
      </c>
      <c r="E1167" s="11" t="inlineStr">
        <is>
          <t>Sim</t>
        </is>
      </c>
      <c r="F1167" s="11" t="n">
        <v>31</v>
      </c>
      <c r="G1167" s="11" t="n">
        <v>12</v>
      </c>
      <c r="H1167" s="12">
        <f>IF(F1167=0,"",G1167/F1167)</f>
        <v/>
      </c>
    </row>
    <row r="1168">
      <c r="A1168" s="7" t="inlineStr">
        <is>
          <t>Simulado 02</t>
        </is>
      </c>
      <c r="B1168" s="8" t="n">
        <v>25</v>
      </c>
      <c r="C1168" s="8" t="inlineStr">
        <is>
          <t>10ª Fase</t>
        </is>
      </c>
      <c r="D1168" s="8" t="inlineStr">
        <is>
          <t>C</t>
        </is>
      </c>
      <c r="E1168" s="8" t="inlineStr">
        <is>
          <t>Não</t>
        </is>
      </c>
      <c r="F1168" s="8" t="n">
        <v>31</v>
      </c>
      <c r="G1168" s="8" t="n">
        <v>9</v>
      </c>
      <c r="H1168" s="9">
        <f>IF(F1168=0,"",G1168/F1168)</f>
        <v/>
      </c>
    </row>
    <row r="1169">
      <c r="A1169" s="10" t="inlineStr">
        <is>
          <t>Simulado 02</t>
        </is>
      </c>
      <c r="B1169" s="11" t="n">
        <v>25</v>
      </c>
      <c r="C1169" s="11" t="inlineStr">
        <is>
          <t>10ª Fase</t>
        </is>
      </c>
      <c r="D1169" s="11" t="inlineStr">
        <is>
          <t>D</t>
        </is>
      </c>
      <c r="E1169" s="11" t="inlineStr">
        <is>
          <t>Não</t>
        </is>
      </c>
      <c r="F1169" s="11" t="n">
        <v>31</v>
      </c>
      <c r="G1169" s="11" t="n">
        <v>10</v>
      </c>
      <c r="H1169" s="12">
        <f>IF(F1169=0,"",G1169/F1169)</f>
        <v/>
      </c>
    </row>
    <row r="1170">
      <c r="A1170" s="7" t="inlineStr">
        <is>
          <t>Simulado 02</t>
        </is>
      </c>
      <c r="B1170" s="8" t="n">
        <v>25</v>
      </c>
      <c r="C1170" s="8" t="inlineStr">
        <is>
          <t>11ª Fase</t>
        </is>
      </c>
      <c r="D1170" s="8" t="inlineStr">
        <is>
          <t>A</t>
        </is>
      </c>
      <c r="E1170" s="8" t="inlineStr">
        <is>
          <t>Não</t>
        </is>
      </c>
      <c r="F1170" s="8" t="n">
        <v>29</v>
      </c>
      <c r="G1170" s="8" t="n">
        <v>0</v>
      </c>
      <c r="H1170" s="9">
        <f>IF(F1170=0,"",G1170/F1170)</f>
        <v/>
      </c>
    </row>
    <row r="1171">
      <c r="A1171" s="10" t="inlineStr">
        <is>
          <t>Simulado 02</t>
        </is>
      </c>
      <c r="B1171" s="11" t="n">
        <v>25</v>
      </c>
      <c r="C1171" s="11" t="inlineStr">
        <is>
          <t>11ª Fase</t>
        </is>
      </c>
      <c r="D1171" s="11" t="inlineStr">
        <is>
          <t>B</t>
        </is>
      </c>
      <c r="E1171" s="11" t="inlineStr">
        <is>
          <t>Sim</t>
        </is>
      </c>
      <c r="F1171" s="11" t="n">
        <v>29</v>
      </c>
      <c r="G1171" s="11" t="n">
        <v>15</v>
      </c>
      <c r="H1171" s="12">
        <f>IF(F1171=0,"",G1171/F1171)</f>
        <v/>
      </c>
    </row>
    <row r="1172">
      <c r="A1172" s="7" t="inlineStr">
        <is>
          <t>Simulado 02</t>
        </is>
      </c>
      <c r="B1172" s="8" t="n">
        <v>25</v>
      </c>
      <c r="C1172" s="8" t="inlineStr">
        <is>
          <t>11ª Fase</t>
        </is>
      </c>
      <c r="D1172" s="8" t="inlineStr">
        <is>
          <t>C</t>
        </is>
      </c>
      <c r="E1172" s="8" t="inlineStr">
        <is>
          <t>Não</t>
        </is>
      </c>
      <c r="F1172" s="8" t="n">
        <v>29</v>
      </c>
      <c r="G1172" s="8" t="n">
        <v>3</v>
      </c>
      <c r="H1172" s="9">
        <f>IF(F1172=0,"",G1172/F1172)</f>
        <v/>
      </c>
    </row>
    <row r="1173">
      <c r="A1173" s="10" t="inlineStr">
        <is>
          <t>Simulado 02</t>
        </is>
      </c>
      <c r="B1173" s="11" t="n">
        <v>25</v>
      </c>
      <c r="C1173" s="11" t="inlineStr">
        <is>
          <t>11ª Fase</t>
        </is>
      </c>
      <c r="D1173" s="11" t="inlineStr">
        <is>
          <t>D</t>
        </is>
      </c>
      <c r="E1173" s="11" t="inlineStr">
        <is>
          <t>Não</t>
        </is>
      </c>
      <c r="F1173" s="11" t="n">
        <v>29</v>
      </c>
      <c r="G1173" s="11" t="n">
        <v>11</v>
      </c>
      <c r="H1173" s="12">
        <f>IF(F1173=0,"",G1173/F1173)</f>
        <v/>
      </c>
    </row>
    <row r="1174">
      <c r="A1174" s="7" t="inlineStr">
        <is>
          <t>Simulado 02</t>
        </is>
      </c>
      <c r="B1174" s="8" t="n">
        <v>26</v>
      </c>
      <c r="C1174" s="8" t="inlineStr">
        <is>
          <t>6ª Fase</t>
        </is>
      </c>
      <c r="D1174" s="8" t="inlineStr">
        <is>
          <t>A</t>
        </is>
      </c>
      <c r="E1174" s="8" t="inlineStr">
        <is>
          <t>Sim</t>
        </is>
      </c>
      <c r="F1174" s="8" t="n">
        <v>28</v>
      </c>
      <c r="G1174" s="8" t="n">
        <v>27</v>
      </c>
      <c r="H1174" s="9">
        <f>IF(F1174=0,"",G1174/F1174)</f>
        <v/>
      </c>
    </row>
    <row r="1175">
      <c r="A1175" s="10" t="inlineStr">
        <is>
          <t>Simulado 02</t>
        </is>
      </c>
      <c r="B1175" s="11" t="n">
        <v>26</v>
      </c>
      <c r="C1175" s="11" t="inlineStr">
        <is>
          <t>6ª Fase</t>
        </is>
      </c>
      <c r="D1175" s="11" t="inlineStr">
        <is>
          <t>B</t>
        </is>
      </c>
      <c r="E1175" s="11" t="inlineStr">
        <is>
          <t>Não</t>
        </is>
      </c>
      <c r="F1175" s="11" t="n">
        <v>28</v>
      </c>
      <c r="G1175" s="11" t="n">
        <v>0</v>
      </c>
      <c r="H1175" s="12">
        <f>IF(F1175=0,"",G1175/F1175)</f>
        <v/>
      </c>
    </row>
    <row r="1176">
      <c r="A1176" s="7" t="inlineStr">
        <is>
          <t>Simulado 02</t>
        </is>
      </c>
      <c r="B1176" s="8" t="n">
        <v>26</v>
      </c>
      <c r="C1176" s="8" t="inlineStr">
        <is>
          <t>6ª Fase</t>
        </is>
      </c>
      <c r="D1176" s="8" t="inlineStr">
        <is>
          <t>C</t>
        </is>
      </c>
      <c r="E1176" s="8" t="inlineStr">
        <is>
          <t>Não</t>
        </is>
      </c>
      <c r="F1176" s="8" t="n">
        <v>28</v>
      </c>
      <c r="G1176" s="8" t="n">
        <v>1</v>
      </c>
      <c r="H1176" s="9">
        <f>IF(F1176=0,"",G1176/F1176)</f>
        <v/>
      </c>
    </row>
    <row r="1177">
      <c r="A1177" s="10" t="inlineStr">
        <is>
          <t>Simulado 02</t>
        </is>
      </c>
      <c r="B1177" s="11" t="n">
        <v>26</v>
      </c>
      <c r="C1177" s="11" t="inlineStr">
        <is>
          <t>6ª Fase</t>
        </is>
      </c>
      <c r="D1177" s="11" t="inlineStr">
        <is>
          <t>D</t>
        </is>
      </c>
      <c r="E1177" s="11" t="inlineStr">
        <is>
          <t>Não</t>
        </is>
      </c>
      <c r="F1177" s="11" t="n">
        <v>28</v>
      </c>
      <c r="G1177" s="11" t="n">
        <v>0</v>
      </c>
      <c r="H1177" s="12">
        <f>IF(F1177=0,"",G1177/F1177)</f>
        <v/>
      </c>
    </row>
    <row r="1178">
      <c r="A1178" s="7" t="inlineStr">
        <is>
          <t>Simulado 02</t>
        </is>
      </c>
      <c r="B1178" s="8" t="n">
        <v>26</v>
      </c>
      <c r="C1178" s="8" t="inlineStr">
        <is>
          <t>7ª Fase</t>
        </is>
      </c>
      <c r="D1178" s="8" t="inlineStr">
        <is>
          <t>A</t>
        </is>
      </c>
      <c r="E1178" s="8" t="inlineStr">
        <is>
          <t>Sim</t>
        </is>
      </c>
      <c r="F1178" s="8" t="n">
        <v>32</v>
      </c>
      <c r="G1178" s="8" t="n">
        <v>32</v>
      </c>
      <c r="H1178" s="9">
        <f>IF(F1178=0,"",G1178/F1178)</f>
        <v/>
      </c>
    </row>
    <row r="1179">
      <c r="A1179" s="10" t="inlineStr">
        <is>
          <t>Simulado 02</t>
        </is>
      </c>
      <c r="B1179" s="11" t="n">
        <v>26</v>
      </c>
      <c r="C1179" s="11" t="inlineStr">
        <is>
          <t>7ª Fase</t>
        </is>
      </c>
      <c r="D1179" s="11" t="inlineStr">
        <is>
          <t>B</t>
        </is>
      </c>
      <c r="E1179" s="11" t="inlineStr">
        <is>
          <t>Não</t>
        </is>
      </c>
      <c r="F1179" s="11" t="n">
        <v>32</v>
      </c>
      <c r="G1179" s="11" t="n">
        <v>0</v>
      </c>
      <c r="H1179" s="12">
        <f>IF(F1179=0,"",G1179/F1179)</f>
        <v/>
      </c>
    </row>
    <row r="1180">
      <c r="A1180" s="7" t="inlineStr">
        <is>
          <t>Simulado 02</t>
        </is>
      </c>
      <c r="B1180" s="8" t="n">
        <v>26</v>
      </c>
      <c r="C1180" s="8" t="inlineStr">
        <is>
          <t>7ª Fase</t>
        </is>
      </c>
      <c r="D1180" s="8" t="inlineStr">
        <is>
          <t>C</t>
        </is>
      </c>
      <c r="E1180" s="8" t="inlineStr">
        <is>
          <t>Não</t>
        </is>
      </c>
      <c r="F1180" s="8" t="n">
        <v>32</v>
      </c>
      <c r="G1180" s="8" t="n">
        <v>0</v>
      </c>
      <c r="H1180" s="9">
        <f>IF(F1180=0,"",G1180/F1180)</f>
        <v/>
      </c>
    </row>
    <row r="1181">
      <c r="A1181" s="10" t="inlineStr">
        <is>
          <t>Simulado 02</t>
        </is>
      </c>
      <c r="B1181" s="11" t="n">
        <v>26</v>
      </c>
      <c r="C1181" s="11" t="inlineStr">
        <is>
          <t>7ª Fase</t>
        </is>
      </c>
      <c r="D1181" s="11" t="inlineStr">
        <is>
          <t>D</t>
        </is>
      </c>
      <c r="E1181" s="11" t="inlineStr">
        <is>
          <t>Não</t>
        </is>
      </c>
      <c r="F1181" s="11" t="n">
        <v>32</v>
      </c>
      <c r="G1181" s="11" t="n">
        <v>0</v>
      </c>
      <c r="H1181" s="12">
        <f>IF(F1181=0,"",G1181/F1181)</f>
        <v/>
      </c>
    </row>
    <row r="1182">
      <c r="A1182" s="7" t="inlineStr">
        <is>
          <t>Simulado 02</t>
        </is>
      </c>
      <c r="B1182" s="8" t="n">
        <v>26</v>
      </c>
      <c r="C1182" s="8" t="inlineStr">
        <is>
          <t>10ª Fase</t>
        </is>
      </c>
      <c r="D1182" s="8" t="inlineStr">
        <is>
          <t>A</t>
        </is>
      </c>
      <c r="E1182" s="8" t="inlineStr">
        <is>
          <t>Sim</t>
        </is>
      </c>
      <c r="F1182" s="8" t="n">
        <v>31</v>
      </c>
      <c r="G1182" s="8" t="n">
        <v>31</v>
      </c>
      <c r="H1182" s="9">
        <f>IF(F1182=0,"",G1182/F1182)</f>
        <v/>
      </c>
    </row>
    <row r="1183">
      <c r="A1183" s="10" t="inlineStr">
        <is>
          <t>Simulado 02</t>
        </is>
      </c>
      <c r="B1183" s="11" t="n">
        <v>26</v>
      </c>
      <c r="C1183" s="11" t="inlineStr">
        <is>
          <t>10ª Fase</t>
        </is>
      </c>
      <c r="D1183" s="11" t="inlineStr">
        <is>
          <t>B</t>
        </is>
      </c>
      <c r="E1183" s="11" t="inlineStr">
        <is>
          <t>Não</t>
        </is>
      </c>
      <c r="F1183" s="11" t="n">
        <v>31</v>
      </c>
      <c r="G1183" s="11" t="n">
        <v>0</v>
      </c>
      <c r="H1183" s="12">
        <f>IF(F1183=0,"",G1183/F1183)</f>
        <v/>
      </c>
    </row>
    <row r="1184">
      <c r="A1184" s="7" t="inlineStr">
        <is>
          <t>Simulado 02</t>
        </is>
      </c>
      <c r="B1184" s="8" t="n">
        <v>26</v>
      </c>
      <c r="C1184" s="8" t="inlineStr">
        <is>
          <t>10ª Fase</t>
        </is>
      </c>
      <c r="D1184" s="8" t="inlineStr">
        <is>
          <t>C</t>
        </is>
      </c>
      <c r="E1184" s="8" t="inlineStr">
        <is>
          <t>Não</t>
        </is>
      </c>
      <c r="F1184" s="8" t="n">
        <v>31</v>
      </c>
      <c r="G1184" s="8" t="n">
        <v>0</v>
      </c>
      <c r="H1184" s="9">
        <f>IF(F1184=0,"",G1184/F1184)</f>
        <v/>
      </c>
    </row>
    <row r="1185">
      <c r="A1185" s="10" t="inlineStr">
        <is>
          <t>Simulado 02</t>
        </is>
      </c>
      <c r="B1185" s="11" t="n">
        <v>26</v>
      </c>
      <c r="C1185" s="11" t="inlineStr">
        <is>
          <t>10ª Fase</t>
        </is>
      </c>
      <c r="D1185" s="11" t="inlineStr">
        <is>
          <t>D</t>
        </is>
      </c>
      <c r="E1185" s="11" t="inlineStr">
        <is>
          <t>Não</t>
        </is>
      </c>
      <c r="F1185" s="11" t="n">
        <v>31</v>
      </c>
      <c r="G1185" s="11" t="n">
        <v>0</v>
      </c>
      <c r="H1185" s="12">
        <f>IF(F1185=0,"",G1185/F1185)</f>
        <v/>
      </c>
    </row>
    <row r="1186">
      <c r="A1186" s="7" t="inlineStr">
        <is>
          <t>Simulado 02</t>
        </is>
      </c>
      <c r="B1186" s="8" t="n">
        <v>26</v>
      </c>
      <c r="C1186" s="8" t="inlineStr">
        <is>
          <t>11ª Fase</t>
        </is>
      </c>
      <c r="D1186" s="8" t="inlineStr">
        <is>
          <t>A</t>
        </is>
      </c>
      <c r="E1186" s="8" t="inlineStr">
        <is>
          <t>Sim</t>
        </is>
      </c>
      <c r="F1186" s="8" t="n">
        <v>29</v>
      </c>
      <c r="G1186" s="8" t="n">
        <v>28</v>
      </c>
      <c r="H1186" s="9">
        <f>IF(F1186=0,"",G1186/F1186)</f>
        <v/>
      </c>
    </row>
    <row r="1187">
      <c r="A1187" s="10" t="inlineStr">
        <is>
          <t>Simulado 02</t>
        </is>
      </c>
      <c r="B1187" s="11" t="n">
        <v>26</v>
      </c>
      <c r="C1187" s="11" t="inlineStr">
        <is>
          <t>11ª Fase</t>
        </is>
      </c>
      <c r="D1187" s="11" t="inlineStr">
        <is>
          <t>B</t>
        </is>
      </c>
      <c r="E1187" s="11" t="inlineStr">
        <is>
          <t>Não</t>
        </is>
      </c>
      <c r="F1187" s="11" t="n">
        <v>29</v>
      </c>
      <c r="G1187" s="11" t="n">
        <v>0</v>
      </c>
      <c r="H1187" s="12">
        <f>IF(F1187=0,"",G1187/F1187)</f>
        <v/>
      </c>
    </row>
    <row r="1188">
      <c r="A1188" s="7" t="inlineStr">
        <is>
          <t>Simulado 02</t>
        </is>
      </c>
      <c r="B1188" s="8" t="n">
        <v>26</v>
      </c>
      <c r="C1188" s="8" t="inlineStr">
        <is>
          <t>11ª Fase</t>
        </is>
      </c>
      <c r="D1188" s="8" t="inlineStr">
        <is>
          <t>C</t>
        </is>
      </c>
      <c r="E1188" s="8" t="inlineStr">
        <is>
          <t>Não</t>
        </is>
      </c>
      <c r="F1188" s="8" t="n">
        <v>29</v>
      </c>
      <c r="G1188" s="8" t="n">
        <v>0</v>
      </c>
      <c r="H1188" s="9">
        <f>IF(F1188=0,"",G1188/F1188)</f>
        <v/>
      </c>
    </row>
    <row r="1189">
      <c r="A1189" s="10" t="inlineStr">
        <is>
          <t>Simulado 02</t>
        </is>
      </c>
      <c r="B1189" s="11" t="n">
        <v>26</v>
      </c>
      <c r="C1189" s="11" t="inlineStr">
        <is>
          <t>11ª Fase</t>
        </is>
      </c>
      <c r="D1189" s="11" t="inlineStr">
        <is>
          <t>D</t>
        </is>
      </c>
      <c r="E1189" s="11" t="inlineStr">
        <is>
          <t>Não</t>
        </is>
      </c>
      <c r="F1189" s="11" t="n">
        <v>29</v>
      </c>
      <c r="G1189" s="11" t="n">
        <v>1</v>
      </c>
      <c r="H1189" s="12">
        <f>IF(F1189=0,"",G1189/F1189)</f>
        <v/>
      </c>
    </row>
    <row r="1190">
      <c r="A1190" s="7" t="inlineStr">
        <is>
          <t>Simulado 02</t>
        </is>
      </c>
      <c r="B1190" s="8" t="n">
        <v>27</v>
      </c>
      <c r="C1190" s="8" t="inlineStr">
        <is>
          <t>6ª Fase</t>
        </is>
      </c>
      <c r="D1190" s="8" t="inlineStr">
        <is>
          <t>A</t>
        </is>
      </c>
      <c r="E1190" s="8" t="inlineStr">
        <is>
          <t>Não</t>
        </is>
      </c>
      <c r="F1190" s="8" t="n">
        <v>28</v>
      </c>
      <c r="G1190" s="8" t="n">
        <v>4</v>
      </c>
      <c r="H1190" s="9">
        <f>IF(F1190=0,"",G1190/F1190)</f>
        <v/>
      </c>
    </row>
    <row r="1191">
      <c r="A1191" s="10" t="inlineStr">
        <is>
          <t>Simulado 02</t>
        </is>
      </c>
      <c r="B1191" s="11" t="n">
        <v>27</v>
      </c>
      <c r="C1191" s="11" t="inlineStr">
        <is>
          <t>6ª Fase</t>
        </is>
      </c>
      <c r="D1191" s="11" t="inlineStr">
        <is>
          <t>B</t>
        </is>
      </c>
      <c r="E1191" s="11" t="inlineStr">
        <is>
          <t>Não</t>
        </is>
      </c>
      <c r="F1191" s="11" t="n">
        <v>28</v>
      </c>
      <c r="G1191" s="11" t="n">
        <v>1</v>
      </c>
      <c r="H1191" s="12">
        <f>IF(F1191=0,"",G1191/F1191)</f>
        <v/>
      </c>
    </row>
    <row r="1192">
      <c r="A1192" s="7" t="inlineStr">
        <is>
          <t>Simulado 02</t>
        </is>
      </c>
      <c r="B1192" s="8" t="n">
        <v>27</v>
      </c>
      <c r="C1192" s="8" t="inlineStr">
        <is>
          <t>6ª Fase</t>
        </is>
      </c>
      <c r="D1192" s="8" t="inlineStr">
        <is>
          <t>C</t>
        </is>
      </c>
      <c r="E1192" s="8" t="inlineStr">
        <is>
          <t>Não</t>
        </is>
      </c>
      <c r="F1192" s="8" t="n">
        <v>28</v>
      </c>
      <c r="G1192" s="8" t="n">
        <v>4</v>
      </c>
      <c r="H1192" s="9">
        <f>IF(F1192=0,"",G1192/F1192)</f>
        <v/>
      </c>
    </row>
    <row r="1193">
      <c r="A1193" s="10" t="inlineStr">
        <is>
          <t>Simulado 02</t>
        </is>
      </c>
      <c r="B1193" s="11" t="n">
        <v>27</v>
      </c>
      <c r="C1193" s="11" t="inlineStr">
        <is>
          <t>6ª Fase</t>
        </is>
      </c>
      <c r="D1193" s="11" t="inlineStr">
        <is>
          <t>D</t>
        </is>
      </c>
      <c r="E1193" s="11" t="inlineStr">
        <is>
          <t>Sim</t>
        </is>
      </c>
      <c r="F1193" s="11" t="n">
        <v>28</v>
      </c>
      <c r="G1193" s="11" t="n">
        <v>19</v>
      </c>
      <c r="H1193" s="12">
        <f>IF(F1193=0,"",G1193/F1193)</f>
        <v/>
      </c>
    </row>
    <row r="1194">
      <c r="A1194" s="7" t="inlineStr">
        <is>
          <t>Simulado 02</t>
        </is>
      </c>
      <c r="B1194" s="8" t="n">
        <v>27</v>
      </c>
      <c r="C1194" s="8" t="inlineStr">
        <is>
          <t>7ª Fase</t>
        </is>
      </c>
      <c r="D1194" s="8" t="inlineStr">
        <is>
          <t>A</t>
        </is>
      </c>
      <c r="E1194" s="8" t="inlineStr">
        <is>
          <t>Não</t>
        </is>
      </c>
      <c r="F1194" s="8" t="n">
        <v>32</v>
      </c>
      <c r="G1194" s="8" t="n">
        <v>6</v>
      </c>
      <c r="H1194" s="9">
        <f>IF(F1194=0,"",G1194/F1194)</f>
        <v/>
      </c>
    </row>
    <row r="1195">
      <c r="A1195" s="10" t="inlineStr">
        <is>
          <t>Simulado 02</t>
        </is>
      </c>
      <c r="B1195" s="11" t="n">
        <v>27</v>
      </c>
      <c r="C1195" s="11" t="inlineStr">
        <is>
          <t>7ª Fase</t>
        </is>
      </c>
      <c r="D1195" s="11" t="inlineStr">
        <is>
          <t>B</t>
        </is>
      </c>
      <c r="E1195" s="11" t="inlineStr">
        <is>
          <t>Não</t>
        </is>
      </c>
      <c r="F1195" s="11" t="n">
        <v>32</v>
      </c>
      <c r="G1195" s="11" t="n">
        <v>5</v>
      </c>
      <c r="H1195" s="12">
        <f>IF(F1195=0,"",G1195/F1195)</f>
        <v/>
      </c>
    </row>
    <row r="1196">
      <c r="A1196" s="7" t="inlineStr">
        <is>
          <t>Simulado 02</t>
        </is>
      </c>
      <c r="B1196" s="8" t="n">
        <v>27</v>
      </c>
      <c r="C1196" s="8" t="inlineStr">
        <is>
          <t>7ª Fase</t>
        </is>
      </c>
      <c r="D1196" s="8" t="inlineStr">
        <is>
          <t>C</t>
        </is>
      </c>
      <c r="E1196" s="8" t="inlineStr">
        <is>
          <t>Não</t>
        </is>
      </c>
      <c r="F1196" s="8" t="n">
        <v>32</v>
      </c>
      <c r="G1196" s="8" t="n">
        <v>6</v>
      </c>
      <c r="H1196" s="9">
        <f>IF(F1196=0,"",G1196/F1196)</f>
        <v/>
      </c>
    </row>
    <row r="1197">
      <c r="A1197" s="10" t="inlineStr">
        <is>
          <t>Simulado 02</t>
        </is>
      </c>
      <c r="B1197" s="11" t="n">
        <v>27</v>
      </c>
      <c r="C1197" s="11" t="inlineStr">
        <is>
          <t>7ª Fase</t>
        </is>
      </c>
      <c r="D1197" s="11" t="inlineStr">
        <is>
          <t>D</t>
        </is>
      </c>
      <c r="E1197" s="11" t="inlineStr">
        <is>
          <t>Sim</t>
        </is>
      </c>
      <c r="F1197" s="11" t="n">
        <v>32</v>
      </c>
      <c r="G1197" s="11" t="n">
        <v>15</v>
      </c>
      <c r="H1197" s="12">
        <f>IF(F1197=0,"",G1197/F1197)</f>
        <v/>
      </c>
    </row>
    <row r="1198">
      <c r="A1198" s="7" t="inlineStr">
        <is>
          <t>Simulado 02</t>
        </is>
      </c>
      <c r="B1198" s="8" t="n">
        <v>27</v>
      </c>
      <c r="C1198" s="8" t="inlineStr">
        <is>
          <t>10ª Fase</t>
        </is>
      </c>
      <c r="D1198" s="8" t="inlineStr">
        <is>
          <t>A</t>
        </is>
      </c>
      <c r="E1198" s="8" t="inlineStr">
        <is>
          <t>Não</t>
        </is>
      </c>
      <c r="F1198" s="8" t="n">
        <v>31</v>
      </c>
      <c r="G1198" s="8" t="n">
        <v>7</v>
      </c>
      <c r="H1198" s="9">
        <f>IF(F1198=0,"",G1198/F1198)</f>
        <v/>
      </c>
    </row>
    <row r="1199">
      <c r="A1199" s="10" t="inlineStr">
        <is>
          <t>Simulado 02</t>
        </is>
      </c>
      <c r="B1199" s="11" t="n">
        <v>27</v>
      </c>
      <c r="C1199" s="11" t="inlineStr">
        <is>
          <t>10ª Fase</t>
        </is>
      </c>
      <c r="D1199" s="11" t="inlineStr">
        <is>
          <t>B</t>
        </is>
      </c>
      <c r="E1199" s="11" t="inlineStr">
        <is>
          <t>Não</t>
        </is>
      </c>
      <c r="F1199" s="11" t="n">
        <v>31</v>
      </c>
      <c r="G1199" s="11" t="n">
        <v>2</v>
      </c>
      <c r="H1199" s="12">
        <f>IF(F1199=0,"",G1199/F1199)</f>
        <v/>
      </c>
    </row>
    <row r="1200">
      <c r="A1200" s="7" t="inlineStr">
        <is>
          <t>Simulado 02</t>
        </is>
      </c>
      <c r="B1200" s="8" t="n">
        <v>27</v>
      </c>
      <c r="C1200" s="8" t="inlineStr">
        <is>
          <t>10ª Fase</t>
        </is>
      </c>
      <c r="D1200" s="8" t="inlineStr">
        <is>
          <t>C</t>
        </is>
      </c>
      <c r="E1200" s="8" t="inlineStr">
        <is>
          <t>Não</t>
        </is>
      </c>
      <c r="F1200" s="8" t="n">
        <v>31</v>
      </c>
      <c r="G1200" s="8" t="n">
        <v>2</v>
      </c>
      <c r="H1200" s="9">
        <f>IF(F1200=0,"",G1200/F1200)</f>
        <v/>
      </c>
    </row>
    <row r="1201">
      <c r="A1201" s="10" t="inlineStr">
        <is>
          <t>Simulado 02</t>
        </is>
      </c>
      <c r="B1201" s="11" t="n">
        <v>27</v>
      </c>
      <c r="C1201" s="11" t="inlineStr">
        <is>
          <t>10ª Fase</t>
        </is>
      </c>
      <c r="D1201" s="11" t="inlineStr">
        <is>
          <t>D</t>
        </is>
      </c>
      <c r="E1201" s="11" t="inlineStr">
        <is>
          <t>Sim</t>
        </is>
      </c>
      <c r="F1201" s="11" t="n">
        <v>31</v>
      </c>
      <c r="G1201" s="11" t="n">
        <v>20</v>
      </c>
      <c r="H1201" s="12">
        <f>IF(F1201=0,"",G1201/F1201)</f>
        <v/>
      </c>
    </row>
    <row r="1202">
      <c r="A1202" s="7" t="inlineStr">
        <is>
          <t>Simulado 02</t>
        </is>
      </c>
      <c r="B1202" s="8" t="n">
        <v>27</v>
      </c>
      <c r="C1202" s="8" t="inlineStr">
        <is>
          <t>11ª Fase</t>
        </is>
      </c>
      <c r="D1202" s="8" t="inlineStr">
        <is>
          <t>A</t>
        </is>
      </c>
      <c r="E1202" s="8" t="inlineStr">
        <is>
          <t>Não</t>
        </is>
      </c>
      <c r="F1202" s="8" t="n">
        <v>29</v>
      </c>
      <c r="G1202" s="8" t="n">
        <v>5</v>
      </c>
      <c r="H1202" s="9">
        <f>IF(F1202=0,"",G1202/F1202)</f>
        <v/>
      </c>
    </row>
    <row r="1203">
      <c r="A1203" s="10" t="inlineStr">
        <is>
          <t>Simulado 02</t>
        </is>
      </c>
      <c r="B1203" s="11" t="n">
        <v>27</v>
      </c>
      <c r="C1203" s="11" t="inlineStr">
        <is>
          <t>11ª Fase</t>
        </is>
      </c>
      <c r="D1203" s="11" t="inlineStr">
        <is>
          <t>B</t>
        </is>
      </c>
      <c r="E1203" s="11" t="inlineStr">
        <is>
          <t>Não</t>
        </is>
      </c>
      <c r="F1203" s="11" t="n">
        <v>29</v>
      </c>
      <c r="G1203" s="11" t="n">
        <v>4</v>
      </c>
      <c r="H1203" s="12">
        <f>IF(F1203=0,"",G1203/F1203)</f>
        <v/>
      </c>
    </row>
    <row r="1204">
      <c r="A1204" s="7" t="inlineStr">
        <is>
          <t>Simulado 02</t>
        </is>
      </c>
      <c r="B1204" s="8" t="n">
        <v>27</v>
      </c>
      <c r="C1204" s="8" t="inlineStr">
        <is>
          <t>11ª Fase</t>
        </is>
      </c>
      <c r="D1204" s="8" t="inlineStr">
        <is>
          <t>C</t>
        </is>
      </c>
      <c r="E1204" s="8" t="inlineStr">
        <is>
          <t>Não</t>
        </is>
      </c>
      <c r="F1204" s="8" t="n">
        <v>29</v>
      </c>
      <c r="G1204" s="8" t="n">
        <v>8</v>
      </c>
      <c r="H1204" s="9">
        <f>IF(F1204=0,"",G1204/F1204)</f>
        <v/>
      </c>
    </row>
    <row r="1205">
      <c r="A1205" s="10" t="inlineStr">
        <is>
          <t>Simulado 02</t>
        </is>
      </c>
      <c r="B1205" s="11" t="n">
        <v>27</v>
      </c>
      <c r="C1205" s="11" t="inlineStr">
        <is>
          <t>11ª Fase</t>
        </is>
      </c>
      <c r="D1205" s="11" t="inlineStr">
        <is>
          <t>D</t>
        </is>
      </c>
      <c r="E1205" s="11" t="inlineStr">
        <is>
          <t>Sim</t>
        </is>
      </c>
      <c r="F1205" s="11" t="n">
        <v>29</v>
      </c>
      <c r="G1205" s="11" t="n">
        <v>12</v>
      </c>
      <c r="H1205" s="12">
        <f>IF(F1205=0,"",G1205/F1205)</f>
        <v/>
      </c>
    </row>
    <row r="1206">
      <c r="A1206" s="7" t="inlineStr">
        <is>
          <t>Simulado 02</t>
        </is>
      </c>
      <c r="B1206" s="8" t="n">
        <v>28</v>
      </c>
      <c r="C1206" s="8" t="inlineStr">
        <is>
          <t>6ª Fase</t>
        </is>
      </c>
      <c r="D1206" s="8" t="inlineStr">
        <is>
          <t>A</t>
        </is>
      </c>
      <c r="E1206" s="8" t="inlineStr">
        <is>
          <t>Sim</t>
        </is>
      </c>
      <c r="F1206" s="8" t="n">
        <v>28</v>
      </c>
      <c r="G1206" s="8" t="n">
        <v>11</v>
      </c>
      <c r="H1206" s="9">
        <f>IF(F1206=0,"",G1206/F1206)</f>
        <v/>
      </c>
    </row>
    <row r="1207">
      <c r="A1207" s="10" t="inlineStr">
        <is>
          <t>Simulado 02</t>
        </is>
      </c>
      <c r="B1207" s="11" t="n">
        <v>28</v>
      </c>
      <c r="C1207" s="11" t="inlineStr">
        <is>
          <t>6ª Fase</t>
        </is>
      </c>
      <c r="D1207" s="11" t="inlineStr">
        <is>
          <t>B</t>
        </is>
      </c>
      <c r="E1207" s="11" t="inlineStr">
        <is>
          <t>Não</t>
        </is>
      </c>
      <c r="F1207" s="11" t="n">
        <v>28</v>
      </c>
      <c r="G1207" s="11" t="n">
        <v>2</v>
      </c>
      <c r="H1207" s="12">
        <f>IF(F1207=0,"",G1207/F1207)</f>
        <v/>
      </c>
    </row>
    <row r="1208">
      <c r="A1208" s="7" t="inlineStr">
        <is>
          <t>Simulado 02</t>
        </is>
      </c>
      <c r="B1208" s="8" t="n">
        <v>28</v>
      </c>
      <c r="C1208" s="8" t="inlineStr">
        <is>
          <t>6ª Fase</t>
        </is>
      </c>
      <c r="D1208" s="8" t="inlineStr">
        <is>
          <t>C</t>
        </is>
      </c>
      <c r="E1208" s="8" t="inlineStr">
        <is>
          <t>Não</t>
        </is>
      </c>
      <c r="F1208" s="8" t="n">
        <v>28</v>
      </c>
      <c r="G1208" s="8" t="n">
        <v>12</v>
      </c>
      <c r="H1208" s="9">
        <f>IF(F1208=0,"",G1208/F1208)</f>
        <v/>
      </c>
    </row>
    <row r="1209">
      <c r="A1209" s="10" t="inlineStr">
        <is>
          <t>Simulado 02</t>
        </is>
      </c>
      <c r="B1209" s="11" t="n">
        <v>28</v>
      </c>
      <c r="C1209" s="11" t="inlineStr">
        <is>
          <t>6ª Fase</t>
        </is>
      </c>
      <c r="D1209" s="11" t="inlineStr">
        <is>
          <t>D</t>
        </is>
      </c>
      <c r="E1209" s="11" t="inlineStr">
        <is>
          <t>Não</t>
        </is>
      </c>
      <c r="F1209" s="11" t="n">
        <v>28</v>
      </c>
      <c r="G1209" s="11" t="n">
        <v>3</v>
      </c>
      <c r="H1209" s="12">
        <f>IF(F1209=0,"",G1209/F1209)</f>
        <v/>
      </c>
    </row>
    <row r="1210">
      <c r="A1210" s="7" t="inlineStr">
        <is>
          <t>Simulado 02</t>
        </is>
      </c>
      <c r="B1210" s="8" t="n">
        <v>28</v>
      </c>
      <c r="C1210" s="8" t="inlineStr">
        <is>
          <t>7ª Fase</t>
        </is>
      </c>
      <c r="D1210" s="8" t="inlineStr">
        <is>
          <t>A</t>
        </is>
      </c>
      <c r="E1210" s="8" t="inlineStr">
        <is>
          <t>Sim</t>
        </is>
      </c>
      <c r="F1210" s="8" t="n">
        <v>32</v>
      </c>
      <c r="G1210" s="8" t="n">
        <v>11</v>
      </c>
      <c r="H1210" s="9">
        <f>IF(F1210=0,"",G1210/F1210)</f>
        <v/>
      </c>
    </row>
    <row r="1211">
      <c r="A1211" s="10" t="inlineStr">
        <is>
          <t>Simulado 02</t>
        </is>
      </c>
      <c r="B1211" s="11" t="n">
        <v>28</v>
      </c>
      <c r="C1211" s="11" t="inlineStr">
        <is>
          <t>7ª Fase</t>
        </is>
      </c>
      <c r="D1211" s="11" t="inlineStr">
        <is>
          <t>B</t>
        </is>
      </c>
      <c r="E1211" s="11" t="inlineStr">
        <is>
          <t>Não</t>
        </is>
      </c>
      <c r="F1211" s="11" t="n">
        <v>32</v>
      </c>
      <c r="G1211" s="11" t="n">
        <v>0</v>
      </c>
      <c r="H1211" s="12">
        <f>IF(F1211=0,"",G1211/F1211)</f>
        <v/>
      </c>
    </row>
    <row r="1212">
      <c r="A1212" s="7" t="inlineStr">
        <is>
          <t>Simulado 02</t>
        </is>
      </c>
      <c r="B1212" s="8" t="n">
        <v>28</v>
      </c>
      <c r="C1212" s="8" t="inlineStr">
        <is>
          <t>7ª Fase</t>
        </is>
      </c>
      <c r="D1212" s="8" t="inlineStr">
        <is>
          <t>C</t>
        </is>
      </c>
      <c r="E1212" s="8" t="inlineStr">
        <is>
          <t>Não</t>
        </is>
      </c>
      <c r="F1212" s="8" t="n">
        <v>32</v>
      </c>
      <c r="G1212" s="8" t="n">
        <v>16</v>
      </c>
      <c r="H1212" s="9">
        <f>IF(F1212=0,"",G1212/F1212)</f>
        <v/>
      </c>
    </row>
    <row r="1213">
      <c r="A1213" s="10" t="inlineStr">
        <is>
          <t>Simulado 02</t>
        </is>
      </c>
      <c r="B1213" s="11" t="n">
        <v>28</v>
      </c>
      <c r="C1213" s="11" t="inlineStr">
        <is>
          <t>7ª Fase</t>
        </is>
      </c>
      <c r="D1213" s="11" t="inlineStr">
        <is>
          <t>D</t>
        </is>
      </c>
      <c r="E1213" s="11" t="inlineStr">
        <is>
          <t>Não</t>
        </is>
      </c>
      <c r="F1213" s="11" t="n">
        <v>32</v>
      </c>
      <c r="G1213" s="11" t="n">
        <v>5</v>
      </c>
      <c r="H1213" s="12">
        <f>IF(F1213=0,"",G1213/F1213)</f>
        <v/>
      </c>
    </row>
    <row r="1214">
      <c r="A1214" s="7" t="inlineStr">
        <is>
          <t>Simulado 02</t>
        </is>
      </c>
      <c r="B1214" s="8" t="n">
        <v>28</v>
      </c>
      <c r="C1214" s="8" t="inlineStr">
        <is>
          <t>10ª Fase</t>
        </is>
      </c>
      <c r="D1214" s="8" t="inlineStr">
        <is>
          <t>A</t>
        </is>
      </c>
      <c r="E1214" s="8" t="inlineStr">
        <is>
          <t>Sim</t>
        </is>
      </c>
      <c r="F1214" s="8" t="n">
        <v>31</v>
      </c>
      <c r="G1214" s="8" t="n">
        <v>11</v>
      </c>
      <c r="H1214" s="9">
        <f>IF(F1214=0,"",G1214/F1214)</f>
        <v/>
      </c>
    </row>
    <row r="1215">
      <c r="A1215" s="10" t="inlineStr">
        <is>
          <t>Simulado 02</t>
        </is>
      </c>
      <c r="B1215" s="11" t="n">
        <v>28</v>
      </c>
      <c r="C1215" s="11" t="inlineStr">
        <is>
          <t>10ª Fase</t>
        </is>
      </c>
      <c r="D1215" s="11" t="inlineStr">
        <is>
          <t>B</t>
        </is>
      </c>
      <c r="E1215" s="11" t="inlineStr">
        <is>
          <t>Não</t>
        </is>
      </c>
      <c r="F1215" s="11" t="n">
        <v>31</v>
      </c>
      <c r="G1215" s="11" t="n">
        <v>2</v>
      </c>
      <c r="H1215" s="12">
        <f>IF(F1215=0,"",G1215/F1215)</f>
        <v/>
      </c>
    </row>
    <row r="1216">
      <c r="A1216" s="7" t="inlineStr">
        <is>
          <t>Simulado 02</t>
        </is>
      </c>
      <c r="B1216" s="8" t="n">
        <v>28</v>
      </c>
      <c r="C1216" s="8" t="inlineStr">
        <is>
          <t>10ª Fase</t>
        </is>
      </c>
      <c r="D1216" s="8" t="inlineStr">
        <is>
          <t>C</t>
        </is>
      </c>
      <c r="E1216" s="8" t="inlineStr">
        <is>
          <t>Não</t>
        </is>
      </c>
      <c r="F1216" s="8" t="n">
        <v>31</v>
      </c>
      <c r="G1216" s="8" t="n">
        <v>16</v>
      </c>
      <c r="H1216" s="9">
        <f>IF(F1216=0,"",G1216/F1216)</f>
        <v/>
      </c>
    </row>
    <row r="1217">
      <c r="A1217" s="10" t="inlineStr">
        <is>
          <t>Simulado 02</t>
        </is>
      </c>
      <c r="B1217" s="11" t="n">
        <v>28</v>
      </c>
      <c r="C1217" s="11" t="inlineStr">
        <is>
          <t>10ª Fase</t>
        </is>
      </c>
      <c r="D1217" s="11" t="inlineStr">
        <is>
          <t>D</t>
        </is>
      </c>
      <c r="E1217" s="11" t="inlineStr">
        <is>
          <t>Não</t>
        </is>
      </c>
      <c r="F1217" s="11" t="n">
        <v>31</v>
      </c>
      <c r="G1217" s="11" t="n">
        <v>2</v>
      </c>
      <c r="H1217" s="12">
        <f>IF(F1217=0,"",G1217/F1217)</f>
        <v/>
      </c>
    </row>
    <row r="1218">
      <c r="A1218" s="7" t="inlineStr">
        <is>
          <t>Simulado 02</t>
        </is>
      </c>
      <c r="B1218" s="8" t="n">
        <v>28</v>
      </c>
      <c r="C1218" s="8" t="inlineStr">
        <is>
          <t>11ª Fase</t>
        </is>
      </c>
      <c r="D1218" s="8" t="inlineStr">
        <is>
          <t>A</t>
        </is>
      </c>
      <c r="E1218" s="8" t="inlineStr">
        <is>
          <t>Sim</t>
        </is>
      </c>
      <c r="F1218" s="8" t="n">
        <v>29</v>
      </c>
      <c r="G1218" s="8" t="n">
        <v>15</v>
      </c>
      <c r="H1218" s="9">
        <f>IF(F1218=0,"",G1218/F1218)</f>
        <v/>
      </c>
    </row>
    <row r="1219">
      <c r="A1219" s="10" t="inlineStr">
        <is>
          <t>Simulado 02</t>
        </is>
      </c>
      <c r="B1219" s="11" t="n">
        <v>28</v>
      </c>
      <c r="C1219" s="11" t="inlineStr">
        <is>
          <t>11ª Fase</t>
        </is>
      </c>
      <c r="D1219" s="11" t="inlineStr">
        <is>
          <t>B</t>
        </is>
      </c>
      <c r="E1219" s="11" t="inlineStr">
        <is>
          <t>Não</t>
        </is>
      </c>
      <c r="F1219" s="11" t="n">
        <v>29</v>
      </c>
      <c r="G1219" s="11" t="n">
        <v>1</v>
      </c>
      <c r="H1219" s="12">
        <f>IF(F1219=0,"",G1219/F1219)</f>
        <v/>
      </c>
    </row>
    <row r="1220">
      <c r="A1220" s="7" t="inlineStr">
        <is>
          <t>Simulado 02</t>
        </is>
      </c>
      <c r="B1220" s="8" t="n">
        <v>28</v>
      </c>
      <c r="C1220" s="8" t="inlineStr">
        <is>
          <t>11ª Fase</t>
        </is>
      </c>
      <c r="D1220" s="8" t="inlineStr">
        <is>
          <t>C</t>
        </is>
      </c>
      <c r="E1220" s="8" t="inlineStr">
        <is>
          <t>Não</t>
        </is>
      </c>
      <c r="F1220" s="8" t="n">
        <v>29</v>
      </c>
      <c r="G1220" s="8" t="n">
        <v>11</v>
      </c>
      <c r="H1220" s="9">
        <f>IF(F1220=0,"",G1220/F1220)</f>
        <v/>
      </c>
    </row>
    <row r="1221">
      <c r="A1221" s="10" t="inlineStr">
        <is>
          <t>Simulado 02</t>
        </is>
      </c>
      <c r="B1221" s="11" t="n">
        <v>28</v>
      </c>
      <c r="C1221" s="11" t="inlineStr">
        <is>
          <t>11ª Fase</t>
        </is>
      </c>
      <c r="D1221" s="11" t="inlineStr">
        <is>
          <t>D</t>
        </is>
      </c>
      <c r="E1221" s="11" t="inlineStr">
        <is>
          <t>Não</t>
        </is>
      </c>
      <c r="F1221" s="11" t="n">
        <v>29</v>
      </c>
      <c r="G1221" s="11" t="n">
        <v>2</v>
      </c>
      <c r="H1221" s="12">
        <f>IF(F1221=0,"",G1221/F1221)</f>
        <v/>
      </c>
    </row>
    <row r="1222">
      <c r="A1222" s="7" t="inlineStr">
        <is>
          <t>Simulado 02</t>
        </is>
      </c>
      <c r="B1222" s="8" t="n">
        <v>29</v>
      </c>
      <c r="C1222" s="8" t="inlineStr">
        <is>
          <t>6ª Fase</t>
        </is>
      </c>
      <c r="D1222" s="8" t="inlineStr">
        <is>
          <t>A</t>
        </is>
      </c>
      <c r="E1222" s="8" t="inlineStr">
        <is>
          <t>Não</t>
        </is>
      </c>
      <c r="F1222" s="8" t="n">
        <v>28</v>
      </c>
      <c r="G1222" s="8" t="n">
        <v>0</v>
      </c>
      <c r="H1222" s="9">
        <f>IF(F1222=0,"",G1222/F1222)</f>
        <v/>
      </c>
    </row>
    <row r="1223">
      <c r="A1223" s="10" t="inlineStr">
        <is>
          <t>Simulado 02</t>
        </is>
      </c>
      <c r="B1223" s="11" t="n">
        <v>29</v>
      </c>
      <c r="C1223" s="11" t="inlineStr">
        <is>
          <t>6ª Fase</t>
        </is>
      </c>
      <c r="D1223" s="11" t="inlineStr">
        <is>
          <t>B</t>
        </is>
      </c>
      <c r="E1223" s="11" t="inlineStr">
        <is>
          <t>Sim</t>
        </is>
      </c>
      <c r="F1223" s="11" t="n">
        <v>28</v>
      </c>
      <c r="G1223" s="11" t="n">
        <v>20</v>
      </c>
      <c r="H1223" s="12">
        <f>IF(F1223=0,"",G1223/F1223)</f>
        <v/>
      </c>
    </row>
    <row r="1224">
      <c r="A1224" s="7" t="inlineStr">
        <is>
          <t>Simulado 02</t>
        </is>
      </c>
      <c r="B1224" s="8" t="n">
        <v>29</v>
      </c>
      <c r="C1224" s="8" t="inlineStr">
        <is>
          <t>6ª Fase</t>
        </is>
      </c>
      <c r="D1224" s="8" t="inlineStr">
        <is>
          <t>C</t>
        </is>
      </c>
      <c r="E1224" s="8" t="inlineStr">
        <is>
          <t>Não</t>
        </is>
      </c>
      <c r="F1224" s="8" t="n">
        <v>28</v>
      </c>
      <c r="G1224" s="8" t="n">
        <v>7</v>
      </c>
      <c r="H1224" s="9">
        <f>IF(F1224=0,"",G1224/F1224)</f>
        <v/>
      </c>
    </row>
    <row r="1225">
      <c r="A1225" s="10" t="inlineStr">
        <is>
          <t>Simulado 02</t>
        </is>
      </c>
      <c r="B1225" s="11" t="n">
        <v>29</v>
      </c>
      <c r="C1225" s="11" t="inlineStr">
        <is>
          <t>6ª Fase</t>
        </is>
      </c>
      <c r="D1225" s="11" t="inlineStr">
        <is>
          <t>D</t>
        </is>
      </c>
      <c r="E1225" s="11" t="inlineStr">
        <is>
          <t>Não</t>
        </is>
      </c>
      <c r="F1225" s="11" t="n">
        <v>28</v>
      </c>
      <c r="G1225" s="11" t="n">
        <v>1</v>
      </c>
      <c r="H1225" s="12">
        <f>IF(F1225=0,"",G1225/F1225)</f>
        <v/>
      </c>
    </row>
    <row r="1226">
      <c r="A1226" s="7" t="inlineStr">
        <is>
          <t>Simulado 02</t>
        </is>
      </c>
      <c r="B1226" s="8" t="n">
        <v>29</v>
      </c>
      <c r="C1226" s="8" t="inlineStr">
        <is>
          <t>7ª Fase</t>
        </is>
      </c>
      <c r="D1226" s="8" t="inlineStr">
        <is>
          <t>A</t>
        </is>
      </c>
      <c r="E1226" s="8" t="inlineStr">
        <is>
          <t>Não</t>
        </is>
      </c>
      <c r="F1226" s="8" t="n">
        <v>32</v>
      </c>
      <c r="G1226" s="8" t="n">
        <v>0</v>
      </c>
      <c r="H1226" s="9">
        <f>IF(F1226=0,"",G1226/F1226)</f>
        <v/>
      </c>
    </row>
    <row r="1227">
      <c r="A1227" s="10" t="inlineStr">
        <is>
          <t>Simulado 02</t>
        </is>
      </c>
      <c r="B1227" s="11" t="n">
        <v>29</v>
      </c>
      <c r="C1227" s="11" t="inlineStr">
        <is>
          <t>7ª Fase</t>
        </is>
      </c>
      <c r="D1227" s="11" t="inlineStr">
        <is>
          <t>B</t>
        </is>
      </c>
      <c r="E1227" s="11" t="inlineStr">
        <is>
          <t>Sim</t>
        </is>
      </c>
      <c r="F1227" s="11" t="n">
        <v>32</v>
      </c>
      <c r="G1227" s="11" t="n">
        <v>22</v>
      </c>
      <c r="H1227" s="12">
        <f>IF(F1227=0,"",G1227/F1227)</f>
        <v/>
      </c>
    </row>
    <row r="1228">
      <c r="A1228" s="7" t="inlineStr">
        <is>
          <t>Simulado 02</t>
        </is>
      </c>
      <c r="B1228" s="8" t="n">
        <v>29</v>
      </c>
      <c r="C1228" s="8" t="inlineStr">
        <is>
          <t>7ª Fase</t>
        </is>
      </c>
      <c r="D1228" s="8" t="inlineStr">
        <is>
          <t>C</t>
        </is>
      </c>
      <c r="E1228" s="8" t="inlineStr">
        <is>
          <t>Não</t>
        </is>
      </c>
      <c r="F1228" s="8" t="n">
        <v>32</v>
      </c>
      <c r="G1228" s="8" t="n">
        <v>10</v>
      </c>
      <c r="H1228" s="9">
        <f>IF(F1228=0,"",G1228/F1228)</f>
        <v/>
      </c>
    </row>
    <row r="1229">
      <c r="A1229" s="10" t="inlineStr">
        <is>
          <t>Simulado 02</t>
        </is>
      </c>
      <c r="B1229" s="11" t="n">
        <v>29</v>
      </c>
      <c r="C1229" s="11" t="inlineStr">
        <is>
          <t>7ª Fase</t>
        </is>
      </c>
      <c r="D1229" s="11" t="inlineStr">
        <is>
          <t>D</t>
        </is>
      </c>
      <c r="E1229" s="11" t="inlineStr">
        <is>
          <t>Não</t>
        </is>
      </c>
      <c r="F1229" s="11" t="n">
        <v>32</v>
      </c>
      <c r="G1229" s="11" t="n">
        <v>0</v>
      </c>
      <c r="H1229" s="12">
        <f>IF(F1229=0,"",G1229/F1229)</f>
        <v/>
      </c>
    </row>
    <row r="1230">
      <c r="A1230" s="7" t="inlineStr">
        <is>
          <t>Simulado 02</t>
        </is>
      </c>
      <c r="B1230" s="8" t="n">
        <v>29</v>
      </c>
      <c r="C1230" s="8" t="inlineStr">
        <is>
          <t>10ª Fase</t>
        </is>
      </c>
      <c r="D1230" s="8" t="inlineStr">
        <is>
          <t>A</t>
        </is>
      </c>
      <c r="E1230" s="8" t="inlineStr">
        <is>
          <t>Não</t>
        </is>
      </c>
      <c r="F1230" s="8" t="n">
        <v>31</v>
      </c>
      <c r="G1230" s="8" t="n">
        <v>1</v>
      </c>
      <c r="H1230" s="9">
        <f>IF(F1230=0,"",G1230/F1230)</f>
        <v/>
      </c>
    </row>
    <row r="1231">
      <c r="A1231" s="10" t="inlineStr">
        <is>
          <t>Simulado 02</t>
        </is>
      </c>
      <c r="B1231" s="11" t="n">
        <v>29</v>
      </c>
      <c r="C1231" s="11" t="inlineStr">
        <is>
          <t>10ª Fase</t>
        </is>
      </c>
      <c r="D1231" s="11" t="inlineStr">
        <is>
          <t>B</t>
        </is>
      </c>
      <c r="E1231" s="11" t="inlineStr">
        <is>
          <t>Sim</t>
        </is>
      </c>
      <c r="F1231" s="11" t="n">
        <v>31</v>
      </c>
      <c r="G1231" s="11" t="n">
        <v>15</v>
      </c>
      <c r="H1231" s="12">
        <f>IF(F1231=0,"",G1231/F1231)</f>
        <v/>
      </c>
    </row>
    <row r="1232">
      <c r="A1232" s="7" t="inlineStr">
        <is>
          <t>Simulado 02</t>
        </is>
      </c>
      <c r="B1232" s="8" t="n">
        <v>29</v>
      </c>
      <c r="C1232" s="8" t="inlineStr">
        <is>
          <t>10ª Fase</t>
        </is>
      </c>
      <c r="D1232" s="8" t="inlineStr">
        <is>
          <t>C</t>
        </is>
      </c>
      <c r="E1232" s="8" t="inlineStr">
        <is>
          <t>Não</t>
        </is>
      </c>
      <c r="F1232" s="8" t="n">
        <v>31</v>
      </c>
      <c r="G1232" s="8" t="n">
        <v>15</v>
      </c>
      <c r="H1232" s="9">
        <f>IF(F1232=0,"",G1232/F1232)</f>
        <v/>
      </c>
    </row>
    <row r="1233">
      <c r="A1233" s="10" t="inlineStr">
        <is>
          <t>Simulado 02</t>
        </is>
      </c>
      <c r="B1233" s="11" t="n">
        <v>29</v>
      </c>
      <c r="C1233" s="11" t="inlineStr">
        <is>
          <t>10ª Fase</t>
        </is>
      </c>
      <c r="D1233" s="11" t="inlineStr">
        <is>
          <t>D</t>
        </is>
      </c>
      <c r="E1233" s="11" t="inlineStr">
        <is>
          <t>Não</t>
        </is>
      </c>
      <c r="F1233" s="11" t="n">
        <v>31</v>
      </c>
      <c r="G1233" s="11" t="n">
        <v>0</v>
      </c>
      <c r="H1233" s="12">
        <f>IF(F1233=0,"",G1233/F1233)</f>
        <v/>
      </c>
    </row>
    <row r="1234">
      <c r="A1234" s="7" t="inlineStr">
        <is>
          <t>Simulado 02</t>
        </is>
      </c>
      <c r="B1234" s="8" t="n">
        <v>29</v>
      </c>
      <c r="C1234" s="8" t="inlineStr">
        <is>
          <t>11ª Fase</t>
        </is>
      </c>
      <c r="D1234" s="8" t="inlineStr">
        <is>
          <t>A</t>
        </is>
      </c>
      <c r="E1234" s="8" t="inlineStr">
        <is>
          <t>Não</t>
        </is>
      </c>
      <c r="F1234" s="8" t="n">
        <v>29</v>
      </c>
      <c r="G1234" s="8" t="n">
        <v>0</v>
      </c>
      <c r="H1234" s="9">
        <f>IF(F1234=0,"",G1234/F1234)</f>
        <v/>
      </c>
    </row>
    <row r="1235">
      <c r="A1235" s="10" t="inlineStr">
        <is>
          <t>Simulado 02</t>
        </is>
      </c>
      <c r="B1235" s="11" t="n">
        <v>29</v>
      </c>
      <c r="C1235" s="11" t="inlineStr">
        <is>
          <t>11ª Fase</t>
        </is>
      </c>
      <c r="D1235" s="11" t="inlineStr">
        <is>
          <t>B</t>
        </is>
      </c>
      <c r="E1235" s="11" t="inlineStr">
        <is>
          <t>Sim</t>
        </is>
      </c>
      <c r="F1235" s="11" t="n">
        <v>29</v>
      </c>
      <c r="G1235" s="11" t="n">
        <v>19</v>
      </c>
      <c r="H1235" s="12">
        <f>IF(F1235=0,"",G1235/F1235)</f>
        <v/>
      </c>
    </row>
    <row r="1236">
      <c r="A1236" s="7" t="inlineStr">
        <is>
          <t>Simulado 02</t>
        </is>
      </c>
      <c r="B1236" s="8" t="n">
        <v>29</v>
      </c>
      <c r="C1236" s="8" t="inlineStr">
        <is>
          <t>11ª Fase</t>
        </is>
      </c>
      <c r="D1236" s="8" t="inlineStr">
        <is>
          <t>C</t>
        </is>
      </c>
      <c r="E1236" s="8" t="inlineStr">
        <is>
          <t>Não</t>
        </is>
      </c>
      <c r="F1236" s="8" t="n">
        <v>29</v>
      </c>
      <c r="G1236" s="8" t="n">
        <v>10</v>
      </c>
      <c r="H1236" s="9">
        <f>IF(F1236=0,"",G1236/F1236)</f>
        <v/>
      </c>
    </row>
    <row r="1237">
      <c r="A1237" s="10" t="inlineStr">
        <is>
          <t>Simulado 02</t>
        </is>
      </c>
      <c r="B1237" s="11" t="n">
        <v>29</v>
      </c>
      <c r="C1237" s="11" t="inlineStr">
        <is>
          <t>11ª Fase</t>
        </is>
      </c>
      <c r="D1237" s="11" t="inlineStr">
        <is>
          <t>D</t>
        </is>
      </c>
      <c r="E1237" s="11" t="inlineStr">
        <is>
          <t>Não</t>
        </is>
      </c>
      <c r="F1237" s="11" t="n">
        <v>29</v>
      </c>
      <c r="G1237" s="11" t="n">
        <v>0</v>
      </c>
      <c r="H1237" s="12">
        <f>IF(F1237=0,"",G1237/F1237)</f>
        <v/>
      </c>
    </row>
    <row r="1238">
      <c r="A1238" s="7" t="inlineStr">
        <is>
          <t>Simulado 02</t>
        </is>
      </c>
      <c r="B1238" s="8" t="n">
        <v>30</v>
      </c>
      <c r="C1238" s="8" t="inlineStr">
        <is>
          <t>6ª Fase</t>
        </is>
      </c>
      <c r="D1238" s="8" t="inlineStr">
        <is>
          <t>A</t>
        </is>
      </c>
      <c r="E1238" s="8" t="inlineStr">
        <is>
          <t>Não</t>
        </is>
      </c>
      <c r="F1238" s="8" t="n">
        <v>28</v>
      </c>
      <c r="G1238" s="8" t="n">
        <v>0</v>
      </c>
      <c r="H1238" s="9">
        <f>IF(F1238=0,"",G1238/F1238)</f>
        <v/>
      </c>
    </row>
    <row r="1239">
      <c r="A1239" s="10" t="inlineStr">
        <is>
          <t>Simulado 02</t>
        </is>
      </c>
      <c r="B1239" s="11" t="n">
        <v>30</v>
      </c>
      <c r="C1239" s="11" t="inlineStr">
        <is>
          <t>6ª Fase</t>
        </is>
      </c>
      <c r="D1239" s="11" t="inlineStr">
        <is>
          <t>B</t>
        </is>
      </c>
      <c r="E1239" s="11" t="inlineStr">
        <is>
          <t>Sim</t>
        </is>
      </c>
      <c r="F1239" s="11" t="n">
        <v>28</v>
      </c>
      <c r="G1239" s="11" t="n">
        <v>25</v>
      </c>
      <c r="H1239" s="12">
        <f>IF(F1239=0,"",G1239/F1239)</f>
        <v/>
      </c>
    </row>
    <row r="1240">
      <c r="A1240" s="7" t="inlineStr">
        <is>
          <t>Simulado 02</t>
        </is>
      </c>
      <c r="B1240" s="8" t="n">
        <v>30</v>
      </c>
      <c r="C1240" s="8" t="inlineStr">
        <is>
          <t>6ª Fase</t>
        </is>
      </c>
      <c r="D1240" s="8" t="inlineStr">
        <is>
          <t>C</t>
        </is>
      </c>
      <c r="E1240" s="8" t="inlineStr">
        <is>
          <t>Não</t>
        </is>
      </c>
      <c r="F1240" s="8" t="n">
        <v>28</v>
      </c>
      <c r="G1240" s="8" t="n">
        <v>3</v>
      </c>
      <c r="H1240" s="9">
        <f>IF(F1240=0,"",G1240/F1240)</f>
        <v/>
      </c>
    </row>
    <row r="1241">
      <c r="A1241" s="10" t="inlineStr">
        <is>
          <t>Simulado 02</t>
        </is>
      </c>
      <c r="B1241" s="11" t="n">
        <v>30</v>
      </c>
      <c r="C1241" s="11" t="inlineStr">
        <is>
          <t>6ª Fase</t>
        </is>
      </c>
      <c r="D1241" s="11" t="inlineStr">
        <is>
          <t>D</t>
        </is>
      </c>
      <c r="E1241" s="11" t="inlineStr">
        <is>
          <t>Não</t>
        </is>
      </c>
      <c r="F1241" s="11" t="n">
        <v>28</v>
      </c>
      <c r="G1241" s="11" t="n">
        <v>0</v>
      </c>
      <c r="H1241" s="12">
        <f>IF(F1241=0,"",G1241/F1241)</f>
        <v/>
      </c>
    </row>
    <row r="1242">
      <c r="A1242" s="7" t="inlineStr">
        <is>
          <t>Simulado 02</t>
        </is>
      </c>
      <c r="B1242" s="8" t="n">
        <v>30</v>
      </c>
      <c r="C1242" s="8" t="inlineStr">
        <is>
          <t>7ª Fase</t>
        </is>
      </c>
      <c r="D1242" s="8" t="inlineStr">
        <is>
          <t>A</t>
        </is>
      </c>
      <c r="E1242" s="8" t="inlineStr">
        <is>
          <t>Não</t>
        </is>
      </c>
      <c r="F1242" s="8" t="n">
        <v>32</v>
      </c>
      <c r="G1242" s="8" t="n">
        <v>0</v>
      </c>
      <c r="H1242" s="9">
        <f>IF(F1242=0,"",G1242/F1242)</f>
        <v/>
      </c>
    </row>
    <row r="1243">
      <c r="A1243" s="10" t="inlineStr">
        <is>
          <t>Simulado 02</t>
        </is>
      </c>
      <c r="B1243" s="11" t="n">
        <v>30</v>
      </c>
      <c r="C1243" s="11" t="inlineStr">
        <is>
          <t>7ª Fase</t>
        </is>
      </c>
      <c r="D1243" s="11" t="inlineStr">
        <is>
          <t>B</t>
        </is>
      </c>
      <c r="E1243" s="11" t="inlineStr">
        <is>
          <t>Sim</t>
        </is>
      </c>
      <c r="F1243" s="11" t="n">
        <v>32</v>
      </c>
      <c r="G1243" s="11" t="n">
        <v>28</v>
      </c>
      <c r="H1243" s="12">
        <f>IF(F1243=0,"",G1243/F1243)</f>
        <v/>
      </c>
    </row>
    <row r="1244">
      <c r="A1244" s="7" t="inlineStr">
        <is>
          <t>Simulado 02</t>
        </is>
      </c>
      <c r="B1244" s="8" t="n">
        <v>30</v>
      </c>
      <c r="C1244" s="8" t="inlineStr">
        <is>
          <t>7ª Fase</t>
        </is>
      </c>
      <c r="D1244" s="8" t="inlineStr">
        <is>
          <t>C</t>
        </is>
      </c>
      <c r="E1244" s="8" t="inlineStr">
        <is>
          <t>Não</t>
        </is>
      </c>
      <c r="F1244" s="8" t="n">
        <v>32</v>
      </c>
      <c r="G1244" s="8" t="n">
        <v>3</v>
      </c>
      <c r="H1244" s="9">
        <f>IF(F1244=0,"",G1244/F1244)</f>
        <v/>
      </c>
    </row>
    <row r="1245">
      <c r="A1245" s="10" t="inlineStr">
        <is>
          <t>Simulado 02</t>
        </is>
      </c>
      <c r="B1245" s="11" t="n">
        <v>30</v>
      </c>
      <c r="C1245" s="11" t="inlineStr">
        <is>
          <t>7ª Fase</t>
        </is>
      </c>
      <c r="D1245" s="11" t="inlineStr">
        <is>
          <t>D</t>
        </is>
      </c>
      <c r="E1245" s="11" t="inlineStr">
        <is>
          <t>Não</t>
        </is>
      </c>
      <c r="F1245" s="11" t="n">
        <v>32</v>
      </c>
      <c r="G1245" s="11" t="n">
        <v>1</v>
      </c>
      <c r="H1245" s="12">
        <f>IF(F1245=0,"",G1245/F1245)</f>
        <v/>
      </c>
    </row>
    <row r="1246">
      <c r="A1246" s="7" t="inlineStr">
        <is>
          <t>Simulado 02</t>
        </is>
      </c>
      <c r="B1246" s="8" t="n">
        <v>30</v>
      </c>
      <c r="C1246" s="8" t="inlineStr">
        <is>
          <t>10ª Fase</t>
        </is>
      </c>
      <c r="D1246" s="8" t="inlineStr">
        <is>
          <t>A</t>
        </is>
      </c>
      <c r="E1246" s="8" t="inlineStr">
        <is>
          <t>Não</t>
        </is>
      </c>
      <c r="F1246" s="8" t="n">
        <v>31</v>
      </c>
      <c r="G1246" s="8" t="n">
        <v>0</v>
      </c>
      <c r="H1246" s="9">
        <f>IF(F1246=0,"",G1246/F1246)</f>
        <v/>
      </c>
    </row>
    <row r="1247">
      <c r="A1247" s="10" t="inlineStr">
        <is>
          <t>Simulado 02</t>
        </is>
      </c>
      <c r="B1247" s="11" t="n">
        <v>30</v>
      </c>
      <c r="C1247" s="11" t="inlineStr">
        <is>
          <t>10ª Fase</t>
        </is>
      </c>
      <c r="D1247" s="11" t="inlineStr">
        <is>
          <t>B</t>
        </is>
      </c>
      <c r="E1247" s="11" t="inlineStr">
        <is>
          <t>Sim</t>
        </is>
      </c>
      <c r="F1247" s="11" t="n">
        <v>31</v>
      </c>
      <c r="G1247" s="11" t="n">
        <v>31</v>
      </c>
      <c r="H1247" s="12">
        <f>IF(F1247=0,"",G1247/F1247)</f>
        <v/>
      </c>
    </row>
    <row r="1248">
      <c r="A1248" s="7" t="inlineStr">
        <is>
          <t>Simulado 02</t>
        </is>
      </c>
      <c r="B1248" s="8" t="n">
        <v>30</v>
      </c>
      <c r="C1248" s="8" t="inlineStr">
        <is>
          <t>10ª Fase</t>
        </is>
      </c>
      <c r="D1248" s="8" t="inlineStr">
        <is>
          <t>C</t>
        </is>
      </c>
      <c r="E1248" s="8" t="inlineStr">
        <is>
          <t>Não</t>
        </is>
      </c>
      <c r="F1248" s="8" t="n">
        <v>31</v>
      </c>
      <c r="G1248" s="8" t="n">
        <v>0</v>
      </c>
      <c r="H1248" s="9">
        <f>IF(F1248=0,"",G1248/F1248)</f>
        <v/>
      </c>
    </row>
    <row r="1249">
      <c r="A1249" s="10" t="inlineStr">
        <is>
          <t>Simulado 02</t>
        </is>
      </c>
      <c r="B1249" s="11" t="n">
        <v>30</v>
      </c>
      <c r="C1249" s="11" t="inlineStr">
        <is>
          <t>10ª Fase</t>
        </is>
      </c>
      <c r="D1249" s="11" t="inlineStr">
        <is>
          <t>D</t>
        </is>
      </c>
      <c r="E1249" s="11" t="inlineStr">
        <is>
          <t>Não</t>
        </is>
      </c>
      <c r="F1249" s="11" t="n">
        <v>31</v>
      </c>
      <c r="G1249" s="11" t="n">
        <v>0</v>
      </c>
      <c r="H1249" s="12">
        <f>IF(F1249=0,"",G1249/F1249)</f>
        <v/>
      </c>
    </row>
    <row r="1250">
      <c r="A1250" s="7" t="inlineStr">
        <is>
          <t>Simulado 02</t>
        </is>
      </c>
      <c r="B1250" s="8" t="n">
        <v>30</v>
      </c>
      <c r="C1250" s="8" t="inlineStr">
        <is>
          <t>11ª Fase</t>
        </is>
      </c>
      <c r="D1250" s="8" t="inlineStr">
        <is>
          <t>A</t>
        </is>
      </c>
      <c r="E1250" s="8" t="inlineStr">
        <is>
          <t>Não</t>
        </is>
      </c>
      <c r="F1250" s="8" t="n">
        <v>29</v>
      </c>
      <c r="G1250" s="8" t="n">
        <v>0</v>
      </c>
      <c r="H1250" s="9">
        <f>IF(F1250=0,"",G1250/F1250)</f>
        <v/>
      </c>
    </row>
    <row r="1251">
      <c r="A1251" s="10" t="inlineStr">
        <is>
          <t>Simulado 02</t>
        </is>
      </c>
      <c r="B1251" s="11" t="n">
        <v>30</v>
      </c>
      <c r="C1251" s="11" t="inlineStr">
        <is>
          <t>11ª Fase</t>
        </is>
      </c>
      <c r="D1251" s="11" t="inlineStr">
        <is>
          <t>B</t>
        </is>
      </c>
      <c r="E1251" s="11" t="inlineStr">
        <is>
          <t>Sim</t>
        </is>
      </c>
      <c r="F1251" s="11" t="n">
        <v>29</v>
      </c>
      <c r="G1251" s="11" t="n">
        <v>29</v>
      </c>
      <c r="H1251" s="12">
        <f>IF(F1251=0,"",G1251/F1251)</f>
        <v/>
      </c>
    </row>
    <row r="1252">
      <c r="A1252" s="7" t="inlineStr">
        <is>
          <t>Simulado 02</t>
        </is>
      </c>
      <c r="B1252" s="8" t="n">
        <v>30</v>
      </c>
      <c r="C1252" s="8" t="inlineStr">
        <is>
          <t>11ª Fase</t>
        </is>
      </c>
      <c r="D1252" s="8" t="inlineStr">
        <is>
          <t>C</t>
        </is>
      </c>
      <c r="E1252" s="8" t="inlineStr">
        <is>
          <t>Não</t>
        </is>
      </c>
      <c r="F1252" s="8" t="n">
        <v>29</v>
      </c>
      <c r="G1252" s="8" t="n">
        <v>0</v>
      </c>
      <c r="H1252" s="9">
        <f>IF(F1252=0,"",G1252/F1252)</f>
        <v/>
      </c>
    </row>
    <row r="1253">
      <c r="A1253" s="10" t="inlineStr">
        <is>
          <t>Simulado 02</t>
        </is>
      </c>
      <c r="B1253" s="11" t="n">
        <v>30</v>
      </c>
      <c r="C1253" s="11" t="inlineStr">
        <is>
          <t>11ª Fase</t>
        </is>
      </c>
      <c r="D1253" s="11" t="inlineStr">
        <is>
          <t>D</t>
        </is>
      </c>
      <c r="E1253" s="11" t="inlineStr">
        <is>
          <t>Não</t>
        </is>
      </c>
      <c r="F1253" s="11" t="n">
        <v>29</v>
      </c>
      <c r="G1253" s="11" t="n">
        <v>0</v>
      </c>
      <c r="H1253" s="12">
        <f>IF(F1253=0,"",G1253/F1253)</f>
        <v/>
      </c>
    </row>
    <row r="1254">
      <c r="A1254" s="7" t="inlineStr">
        <is>
          <t>Simulado 02</t>
        </is>
      </c>
      <c r="B1254" s="8" t="n">
        <v>31</v>
      </c>
      <c r="C1254" s="8" t="inlineStr">
        <is>
          <t>6ª Fase</t>
        </is>
      </c>
      <c r="D1254" s="8" t="inlineStr">
        <is>
          <t>A</t>
        </is>
      </c>
      <c r="E1254" s="8" t="inlineStr">
        <is>
          <t>Sim</t>
        </is>
      </c>
      <c r="F1254" s="8" t="n">
        <v>28</v>
      </c>
      <c r="G1254" s="8" t="n">
        <v>16</v>
      </c>
      <c r="H1254" s="9">
        <f>IF(F1254=0,"",G1254/F1254)</f>
        <v/>
      </c>
    </row>
    <row r="1255">
      <c r="A1255" s="10" t="inlineStr">
        <is>
          <t>Simulado 02</t>
        </is>
      </c>
      <c r="B1255" s="11" t="n">
        <v>31</v>
      </c>
      <c r="C1255" s="11" t="inlineStr">
        <is>
          <t>6ª Fase</t>
        </is>
      </c>
      <c r="D1255" s="11" t="inlineStr">
        <is>
          <t>B</t>
        </is>
      </c>
      <c r="E1255" s="11" t="inlineStr">
        <is>
          <t>Não</t>
        </is>
      </c>
      <c r="F1255" s="11" t="n">
        <v>28</v>
      </c>
      <c r="G1255" s="11" t="n">
        <v>9</v>
      </c>
      <c r="H1255" s="12">
        <f>IF(F1255=0,"",G1255/F1255)</f>
        <v/>
      </c>
    </row>
    <row r="1256">
      <c r="A1256" s="7" t="inlineStr">
        <is>
          <t>Simulado 02</t>
        </is>
      </c>
      <c r="B1256" s="8" t="n">
        <v>31</v>
      </c>
      <c r="C1256" s="8" t="inlineStr">
        <is>
          <t>6ª Fase</t>
        </is>
      </c>
      <c r="D1256" s="8" t="inlineStr">
        <is>
          <t>C</t>
        </is>
      </c>
      <c r="E1256" s="8" t="inlineStr">
        <is>
          <t>Não</t>
        </is>
      </c>
      <c r="F1256" s="8" t="n">
        <v>28</v>
      </c>
      <c r="G1256" s="8" t="n">
        <v>1</v>
      </c>
      <c r="H1256" s="9">
        <f>IF(F1256=0,"",G1256/F1256)</f>
        <v/>
      </c>
    </row>
    <row r="1257">
      <c r="A1257" s="10" t="inlineStr">
        <is>
          <t>Simulado 02</t>
        </is>
      </c>
      <c r="B1257" s="11" t="n">
        <v>31</v>
      </c>
      <c r="C1257" s="11" t="inlineStr">
        <is>
          <t>6ª Fase</t>
        </is>
      </c>
      <c r="D1257" s="11" t="inlineStr">
        <is>
          <t>D</t>
        </is>
      </c>
      <c r="E1257" s="11" t="inlineStr">
        <is>
          <t>Não</t>
        </is>
      </c>
      <c r="F1257" s="11" t="n">
        <v>28</v>
      </c>
      <c r="G1257" s="11" t="n">
        <v>2</v>
      </c>
      <c r="H1257" s="12">
        <f>IF(F1257=0,"",G1257/F1257)</f>
        <v/>
      </c>
    </row>
    <row r="1258">
      <c r="A1258" s="7" t="inlineStr">
        <is>
          <t>Simulado 02</t>
        </is>
      </c>
      <c r="B1258" s="8" t="n">
        <v>31</v>
      </c>
      <c r="C1258" s="8" t="inlineStr">
        <is>
          <t>7ª Fase</t>
        </is>
      </c>
      <c r="D1258" s="8" t="inlineStr">
        <is>
          <t>A</t>
        </is>
      </c>
      <c r="E1258" s="8" t="inlineStr">
        <is>
          <t>Sim</t>
        </is>
      </c>
      <c r="F1258" s="8" t="n">
        <v>32</v>
      </c>
      <c r="G1258" s="8" t="n">
        <v>16</v>
      </c>
      <c r="H1258" s="9">
        <f>IF(F1258=0,"",G1258/F1258)</f>
        <v/>
      </c>
    </row>
    <row r="1259">
      <c r="A1259" s="10" t="inlineStr">
        <is>
          <t>Simulado 02</t>
        </is>
      </c>
      <c r="B1259" s="11" t="n">
        <v>31</v>
      </c>
      <c r="C1259" s="11" t="inlineStr">
        <is>
          <t>7ª Fase</t>
        </is>
      </c>
      <c r="D1259" s="11" t="inlineStr">
        <is>
          <t>B</t>
        </is>
      </c>
      <c r="E1259" s="11" t="inlineStr">
        <is>
          <t>Não</t>
        </is>
      </c>
      <c r="F1259" s="11" t="n">
        <v>32</v>
      </c>
      <c r="G1259" s="11" t="n">
        <v>15</v>
      </c>
      <c r="H1259" s="12">
        <f>IF(F1259=0,"",G1259/F1259)</f>
        <v/>
      </c>
    </row>
    <row r="1260">
      <c r="A1260" s="7" t="inlineStr">
        <is>
          <t>Simulado 02</t>
        </is>
      </c>
      <c r="B1260" s="8" t="n">
        <v>31</v>
      </c>
      <c r="C1260" s="8" t="inlineStr">
        <is>
          <t>7ª Fase</t>
        </is>
      </c>
      <c r="D1260" s="8" t="inlineStr">
        <is>
          <t>C</t>
        </is>
      </c>
      <c r="E1260" s="8" t="inlineStr">
        <is>
          <t>Não</t>
        </is>
      </c>
      <c r="F1260" s="8" t="n">
        <v>32</v>
      </c>
      <c r="G1260" s="8" t="n">
        <v>0</v>
      </c>
      <c r="H1260" s="9">
        <f>IF(F1260=0,"",G1260/F1260)</f>
        <v/>
      </c>
    </row>
    <row r="1261">
      <c r="A1261" s="10" t="inlineStr">
        <is>
          <t>Simulado 02</t>
        </is>
      </c>
      <c r="B1261" s="11" t="n">
        <v>31</v>
      </c>
      <c r="C1261" s="11" t="inlineStr">
        <is>
          <t>7ª Fase</t>
        </is>
      </c>
      <c r="D1261" s="11" t="inlineStr">
        <is>
          <t>D</t>
        </is>
      </c>
      <c r="E1261" s="11" t="inlineStr">
        <is>
          <t>Não</t>
        </is>
      </c>
      <c r="F1261" s="11" t="n">
        <v>32</v>
      </c>
      <c r="G1261" s="11" t="n">
        <v>1</v>
      </c>
      <c r="H1261" s="12">
        <f>IF(F1261=0,"",G1261/F1261)</f>
        <v/>
      </c>
    </row>
    <row r="1262">
      <c r="A1262" s="7" t="inlineStr">
        <is>
          <t>Simulado 02</t>
        </is>
      </c>
      <c r="B1262" s="8" t="n">
        <v>31</v>
      </c>
      <c r="C1262" s="8" t="inlineStr">
        <is>
          <t>10ª Fase</t>
        </is>
      </c>
      <c r="D1262" s="8" t="inlineStr">
        <is>
          <t>A</t>
        </is>
      </c>
      <c r="E1262" s="8" t="inlineStr">
        <is>
          <t>Sim</t>
        </is>
      </c>
      <c r="F1262" s="8" t="n">
        <v>31</v>
      </c>
      <c r="G1262" s="8" t="n">
        <v>22</v>
      </c>
      <c r="H1262" s="9">
        <f>IF(F1262=0,"",G1262/F1262)</f>
        <v/>
      </c>
    </row>
    <row r="1263">
      <c r="A1263" s="10" t="inlineStr">
        <is>
          <t>Simulado 02</t>
        </is>
      </c>
      <c r="B1263" s="11" t="n">
        <v>31</v>
      </c>
      <c r="C1263" s="11" t="inlineStr">
        <is>
          <t>10ª Fase</t>
        </is>
      </c>
      <c r="D1263" s="11" t="inlineStr">
        <is>
          <t>B</t>
        </is>
      </c>
      <c r="E1263" s="11" t="inlineStr">
        <is>
          <t>Não</t>
        </is>
      </c>
      <c r="F1263" s="11" t="n">
        <v>31</v>
      </c>
      <c r="G1263" s="11" t="n">
        <v>7</v>
      </c>
      <c r="H1263" s="12">
        <f>IF(F1263=0,"",G1263/F1263)</f>
        <v/>
      </c>
    </row>
    <row r="1264">
      <c r="A1264" s="7" t="inlineStr">
        <is>
          <t>Simulado 02</t>
        </is>
      </c>
      <c r="B1264" s="8" t="n">
        <v>31</v>
      </c>
      <c r="C1264" s="8" t="inlineStr">
        <is>
          <t>10ª Fase</t>
        </is>
      </c>
      <c r="D1264" s="8" t="inlineStr">
        <is>
          <t>C</t>
        </is>
      </c>
      <c r="E1264" s="8" t="inlineStr">
        <is>
          <t>Não</t>
        </is>
      </c>
      <c r="F1264" s="8" t="n">
        <v>31</v>
      </c>
      <c r="G1264" s="8" t="n">
        <v>2</v>
      </c>
      <c r="H1264" s="9">
        <f>IF(F1264=0,"",G1264/F1264)</f>
        <v/>
      </c>
    </row>
    <row r="1265">
      <c r="A1265" s="10" t="inlineStr">
        <is>
          <t>Simulado 02</t>
        </is>
      </c>
      <c r="B1265" s="11" t="n">
        <v>31</v>
      </c>
      <c r="C1265" s="11" t="inlineStr">
        <is>
          <t>10ª Fase</t>
        </is>
      </c>
      <c r="D1265" s="11" t="inlineStr">
        <is>
          <t>D</t>
        </is>
      </c>
      <c r="E1265" s="11" t="inlineStr">
        <is>
          <t>Não</t>
        </is>
      </c>
      <c r="F1265" s="11" t="n">
        <v>31</v>
      </c>
      <c r="G1265" s="11" t="n">
        <v>0</v>
      </c>
      <c r="H1265" s="12">
        <f>IF(F1265=0,"",G1265/F1265)</f>
        <v/>
      </c>
    </row>
    <row r="1266">
      <c r="A1266" s="7" t="inlineStr">
        <is>
          <t>Simulado 02</t>
        </is>
      </c>
      <c r="B1266" s="8" t="n">
        <v>31</v>
      </c>
      <c r="C1266" s="8" t="inlineStr">
        <is>
          <t>11ª Fase</t>
        </is>
      </c>
      <c r="D1266" s="8" t="inlineStr">
        <is>
          <t>A</t>
        </is>
      </c>
      <c r="E1266" s="8" t="inlineStr">
        <is>
          <t>Sim</t>
        </is>
      </c>
      <c r="F1266" s="8" t="n">
        <v>29</v>
      </c>
      <c r="G1266" s="8" t="n">
        <v>13</v>
      </c>
      <c r="H1266" s="9">
        <f>IF(F1266=0,"",G1266/F1266)</f>
        <v/>
      </c>
    </row>
    <row r="1267">
      <c r="A1267" s="10" t="inlineStr">
        <is>
          <t>Simulado 02</t>
        </is>
      </c>
      <c r="B1267" s="11" t="n">
        <v>31</v>
      </c>
      <c r="C1267" s="11" t="inlineStr">
        <is>
          <t>11ª Fase</t>
        </is>
      </c>
      <c r="D1267" s="11" t="inlineStr">
        <is>
          <t>B</t>
        </is>
      </c>
      <c r="E1267" s="11" t="inlineStr">
        <is>
          <t>Não</t>
        </is>
      </c>
      <c r="F1267" s="11" t="n">
        <v>29</v>
      </c>
      <c r="G1267" s="11" t="n">
        <v>14</v>
      </c>
      <c r="H1267" s="12">
        <f>IF(F1267=0,"",G1267/F1267)</f>
        <v/>
      </c>
    </row>
    <row r="1268">
      <c r="A1268" s="7" t="inlineStr">
        <is>
          <t>Simulado 02</t>
        </is>
      </c>
      <c r="B1268" s="8" t="n">
        <v>31</v>
      </c>
      <c r="C1268" s="8" t="inlineStr">
        <is>
          <t>11ª Fase</t>
        </is>
      </c>
      <c r="D1268" s="8" t="inlineStr">
        <is>
          <t>C</t>
        </is>
      </c>
      <c r="E1268" s="8" t="inlineStr">
        <is>
          <t>Não</t>
        </is>
      </c>
      <c r="F1268" s="8" t="n">
        <v>29</v>
      </c>
      <c r="G1268" s="8" t="n">
        <v>2</v>
      </c>
      <c r="H1268" s="9">
        <f>IF(F1268=0,"",G1268/F1268)</f>
        <v/>
      </c>
    </row>
    <row r="1269">
      <c r="A1269" s="10" t="inlineStr">
        <is>
          <t>Simulado 02</t>
        </is>
      </c>
      <c r="B1269" s="11" t="n">
        <v>31</v>
      </c>
      <c r="C1269" s="11" t="inlineStr">
        <is>
          <t>11ª Fase</t>
        </is>
      </c>
      <c r="D1269" s="11" t="inlineStr">
        <is>
          <t>D</t>
        </is>
      </c>
      <c r="E1269" s="11" t="inlineStr">
        <is>
          <t>Não</t>
        </is>
      </c>
      <c r="F1269" s="11" t="n">
        <v>29</v>
      </c>
      <c r="G1269" s="11" t="n">
        <v>0</v>
      </c>
      <c r="H1269" s="12">
        <f>IF(F1269=0,"",G1269/F1269)</f>
        <v/>
      </c>
    </row>
    <row r="1270">
      <c r="A1270" s="7" t="inlineStr">
        <is>
          <t>Simulado 02</t>
        </is>
      </c>
      <c r="B1270" s="8" t="n">
        <v>32</v>
      </c>
      <c r="C1270" s="8" t="inlineStr">
        <is>
          <t>6ª Fase</t>
        </is>
      </c>
      <c r="D1270" s="8" t="inlineStr">
        <is>
          <t>A</t>
        </is>
      </c>
      <c r="E1270" s="8" t="inlineStr">
        <is>
          <t>Não</t>
        </is>
      </c>
      <c r="F1270" s="8" t="n">
        <v>28</v>
      </c>
      <c r="G1270" s="8" t="n">
        <v>3</v>
      </c>
      <c r="H1270" s="9">
        <f>IF(F1270=0,"",G1270/F1270)</f>
        <v/>
      </c>
    </row>
    <row r="1271">
      <c r="A1271" s="10" t="inlineStr">
        <is>
          <t>Simulado 02</t>
        </is>
      </c>
      <c r="B1271" s="11" t="n">
        <v>32</v>
      </c>
      <c r="C1271" s="11" t="inlineStr">
        <is>
          <t>6ª Fase</t>
        </is>
      </c>
      <c r="D1271" s="11" t="inlineStr">
        <is>
          <t>B</t>
        </is>
      </c>
      <c r="E1271" s="11" t="inlineStr">
        <is>
          <t>Não</t>
        </is>
      </c>
      <c r="F1271" s="11" t="n">
        <v>28</v>
      </c>
      <c r="G1271" s="11" t="n">
        <v>2</v>
      </c>
      <c r="H1271" s="12">
        <f>IF(F1271=0,"",G1271/F1271)</f>
        <v/>
      </c>
    </row>
    <row r="1272">
      <c r="A1272" s="7" t="inlineStr">
        <is>
          <t>Simulado 02</t>
        </is>
      </c>
      <c r="B1272" s="8" t="n">
        <v>32</v>
      </c>
      <c r="C1272" s="8" t="inlineStr">
        <is>
          <t>6ª Fase</t>
        </is>
      </c>
      <c r="D1272" s="8" t="inlineStr">
        <is>
          <t>C</t>
        </is>
      </c>
      <c r="E1272" s="8" t="inlineStr">
        <is>
          <t>Sim</t>
        </is>
      </c>
      <c r="F1272" s="8" t="n">
        <v>28</v>
      </c>
      <c r="G1272" s="8" t="n">
        <v>22</v>
      </c>
      <c r="H1272" s="9">
        <f>IF(F1272=0,"",G1272/F1272)</f>
        <v/>
      </c>
    </row>
    <row r="1273">
      <c r="A1273" s="10" t="inlineStr">
        <is>
          <t>Simulado 02</t>
        </is>
      </c>
      <c r="B1273" s="11" t="n">
        <v>32</v>
      </c>
      <c r="C1273" s="11" t="inlineStr">
        <is>
          <t>6ª Fase</t>
        </is>
      </c>
      <c r="D1273" s="11" t="inlineStr">
        <is>
          <t>D</t>
        </is>
      </c>
      <c r="E1273" s="11" t="inlineStr">
        <is>
          <t>Não</t>
        </is>
      </c>
      <c r="F1273" s="11" t="n">
        <v>28</v>
      </c>
      <c r="G1273" s="11" t="n">
        <v>1</v>
      </c>
      <c r="H1273" s="12">
        <f>IF(F1273=0,"",G1273/F1273)</f>
        <v/>
      </c>
    </row>
    <row r="1274">
      <c r="A1274" s="7" t="inlineStr">
        <is>
          <t>Simulado 02</t>
        </is>
      </c>
      <c r="B1274" s="8" t="n">
        <v>32</v>
      </c>
      <c r="C1274" s="8" t="inlineStr">
        <is>
          <t>7ª Fase</t>
        </is>
      </c>
      <c r="D1274" s="8" t="inlineStr">
        <is>
          <t>A</t>
        </is>
      </c>
      <c r="E1274" s="8" t="inlineStr">
        <is>
          <t>Não</t>
        </is>
      </c>
      <c r="F1274" s="8" t="n">
        <v>32</v>
      </c>
      <c r="G1274" s="8" t="n">
        <v>2</v>
      </c>
      <c r="H1274" s="9">
        <f>IF(F1274=0,"",G1274/F1274)</f>
        <v/>
      </c>
    </row>
    <row r="1275">
      <c r="A1275" s="10" t="inlineStr">
        <is>
          <t>Simulado 02</t>
        </is>
      </c>
      <c r="B1275" s="11" t="n">
        <v>32</v>
      </c>
      <c r="C1275" s="11" t="inlineStr">
        <is>
          <t>7ª Fase</t>
        </is>
      </c>
      <c r="D1275" s="11" t="inlineStr">
        <is>
          <t>B</t>
        </is>
      </c>
      <c r="E1275" s="11" t="inlineStr">
        <is>
          <t>Não</t>
        </is>
      </c>
      <c r="F1275" s="11" t="n">
        <v>32</v>
      </c>
      <c r="G1275" s="11" t="n">
        <v>1</v>
      </c>
      <c r="H1275" s="12">
        <f>IF(F1275=0,"",G1275/F1275)</f>
        <v/>
      </c>
    </row>
    <row r="1276">
      <c r="A1276" s="7" t="inlineStr">
        <is>
          <t>Simulado 02</t>
        </is>
      </c>
      <c r="B1276" s="8" t="n">
        <v>32</v>
      </c>
      <c r="C1276" s="8" t="inlineStr">
        <is>
          <t>7ª Fase</t>
        </is>
      </c>
      <c r="D1276" s="8" t="inlineStr">
        <is>
          <t>C</t>
        </is>
      </c>
      <c r="E1276" s="8" t="inlineStr">
        <is>
          <t>Sim</t>
        </is>
      </c>
      <c r="F1276" s="8" t="n">
        <v>32</v>
      </c>
      <c r="G1276" s="8" t="n">
        <v>29</v>
      </c>
      <c r="H1276" s="9">
        <f>IF(F1276=0,"",G1276/F1276)</f>
        <v/>
      </c>
    </row>
    <row r="1277">
      <c r="A1277" s="10" t="inlineStr">
        <is>
          <t>Simulado 02</t>
        </is>
      </c>
      <c r="B1277" s="11" t="n">
        <v>32</v>
      </c>
      <c r="C1277" s="11" t="inlineStr">
        <is>
          <t>7ª Fase</t>
        </is>
      </c>
      <c r="D1277" s="11" t="inlineStr">
        <is>
          <t>D</t>
        </is>
      </c>
      <c r="E1277" s="11" t="inlineStr">
        <is>
          <t>Não</t>
        </is>
      </c>
      <c r="F1277" s="11" t="n">
        <v>32</v>
      </c>
      <c r="G1277" s="11" t="n">
        <v>0</v>
      </c>
      <c r="H1277" s="12">
        <f>IF(F1277=0,"",G1277/F1277)</f>
        <v/>
      </c>
    </row>
    <row r="1278">
      <c r="A1278" s="7" t="inlineStr">
        <is>
          <t>Simulado 02</t>
        </is>
      </c>
      <c r="B1278" s="8" t="n">
        <v>32</v>
      </c>
      <c r="C1278" s="8" t="inlineStr">
        <is>
          <t>10ª Fase</t>
        </is>
      </c>
      <c r="D1278" s="8" t="inlineStr">
        <is>
          <t>A</t>
        </is>
      </c>
      <c r="E1278" s="8" t="inlineStr">
        <is>
          <t>Não</t>
        </is>
      </c>
      <c r="F1278" s="8" t="n">
        <v>31</v>
      </c>
      <c r="G1278" s="8" t="n">
        <v>1</v>
      </c>
      <c r="H1278" s="9">
        <f>IF(F1278=0,"",G1278/F1278)</f>
        <v/>
      </c>
    </row>
    <row r="1279">
      <c r="A1279" s="10" t="inlineStr">
        <is>
          <t>Simulado 02</t>
        </is>
      </c>
      <c r="B1279" s="11" t="n">
        <v>32</v>
      </c>
      <c r="C1279" s="11" t="inlineStr">
        <is>
          <t>10ª Fase</t>
        </is>
      </c>
      <c r="D1279" s="11" t="inlineStr">
        <is>
          <t>B</t>
        </is>
      </c>
      <c r="E1279" s="11" t="inlineStr">
        <is>
          <t>Não</t>
        </is>
      </c>
      <c r="F1279" s="11" t="n">
        <v>31</v>
      </c>
      <c r="G1279" s="11" t="n">
        <v>1</v>
      </c>
      <c r="H1279" s="12">
        <f>IF(F1279=0,"",G1279/F1279)</f>
        <v/>
      </c>
    </row>
    <row r="1280">
      <c r="A1280" s="7" t="inlineStr">
        <is>
          <t>Simulado 02</t>
        </is>
      </c>
      <c r="B1280" s="8" t="n">
        <v>32</v>
      </c>
      <c r="C1280" s="8" t="inlineStr">
        <is>
          <t>10ª Fase</t>
        </is>
      </c>
      <c r="D1280" s="8" t="inlineStr">
        <is>
          <t>C</t>
        </is>
      </c>
      <c r="E1280" s="8" t="inlineStr">
        <is>
          <t>Sim</t>
        </is>
      </c>
      <c r="F1280" s="8" t="n">
        <v>31</v>
      </c>
      <c r="G1280" s="8" t="n">
        <v>29</v>
      </c>
      <c r="H1280" s="9">
        <f>IF(F1280=0,"",G1280/F1280)</f>
        <v/>
      </c>
    </row>
    <row r="1281">
      <c r="A1281" s="10" t="inlineStr">
        <is>
          <t>Simulado 02</t>
        </is>
      </c>
      <c r="B1281" s="11" t="n">
        <v>32</v>
      </c>
      <c r="C1281" s="11" t="inlineStr">
        <is>
          <t>10ª Fase</t>
        </is>
      </c>
      <c r="D1281" s="11" t="inlineStr">
        <is>
          <t>D</t>
        </is>
      </c>
      <c r="E1281" s="11" t="inlineStr">
        <is>
          <t>Não</t>
        </is>
      </c>
      <c r="F1281" s="11" t="n">
        <v>31</v>
      </c>
      <c r="G1281" s="11" t="n">
        <v>0</v>
      </c>
      <c r="H1281" s="12">
        <f>IF(F1281=0,"",G1281/F1281)</f>
        <v/>
      </c>
    </row>
    <row r="1282">
      <c r="A1282" s="7" t="inlineStr">
        <is>
          <t>Simulado 02</t>
        </is>
      </c>
      <c r="B1282" s="8" t="n">
        <v>32</v>
      </c>
      <c r="C1282" s="8" t="inlineStr">
        <is>
          <t>11ª Fase</t>
        </is>
      </c>
      <c r="D1282" s="8" t="inlineStr">
        <is>
          <t>A</t>
        </is>
      </c>
      <c r="E1282" s="8" t="inlineStr">
        <is>
          <t>Não</t>
        </is>
      </c>
      <c r="F1282" s="8" t="n">
        <v>29</v>
      </c>
      <c r="G1282" s="8" t="n">
        <v>2</v>
      </c>
      <c r="H1282" s="9">
        <f>IF(F1282=0,"",G1282/F1282)</f>
        <v/>
      </c>
    </row>
    <row r="1283">
      <c r="A1283" s="10" t="inlineStr">
        <is>
          <t>Simulado 02</t>
        </is>
      </c>
      <c r="B1283" s="11" t="n">
        <v>32</v>
      </c>
      <c r="C1283" s="11" t="inlineStr">
        <is>
          <t>11ª Fase</t>
        </is>
      </c>
      <c r="D1283" s="11" t="inlineStr">
        <is>
          <t>B</t>
        </is>
      </c>
      <c r="E1283" s="11" t="inlineStr">
        <is>
          <t>Não</t>
        </is>
      </c>
      <c r="F1283" s="11" t="n">
        <v>29</v>
      </c>
      <c r="G1283" s="11" t="n">
        <v>1</v>
      </c>
      <c r="H1283" s="12">
        <f>IF(F1283=0,"",G1283/F1283)</f>
        <v/>
      </c>
    </row>
    <row r="1284">
      <c r="A1284" s="7" t="inlineStr">
        <is>
          <t>Simulado 02</t>
        </is>
      </c>
      <c r="B1284" s="8" t="n">
        <v>32</v>
      </c>
      <c r="C1284" s="8" t="inlineStr">
        <is>
          <t>11ª Fase</t>
        </is>
      </c>
      <c r="D1284" s="8" t="inlineStr">
        <is>
          <t>C</t>
        </is>
      </c>
      <c r="E1284" s="8" t="inlineStr">
        <is>
          <t>Sim</t>
        </is>
      </c>
      <c r="F1284" s="8" t="n">
        <v>29</v>
      </c>
      <c r="G1284" s="8" t="n">
        <v>26</v>
      </c>
      <c r="H1284" s="9">
        <f>IF(F1284=0,"",G1284/F1284)</f>
        <v/>
      </c>
    </row>
    <row r="1285">
      <c r="A1285" s="10" t="inlineStr">
        <is>
          <t>Simulado 02</t>
        </is>
      </c>
      <c r="B1285" s="11" t="n">
        <v>32</v>
      </c>
      <c r="C1285" s="11" t="inlineStr">
        <is>
          <t>11ª Fase</t>
        </is>
      </c>
      <c r="D1285" s="11" t="inlineStr">
        <is>
          <t>D</t>
        </is>
      </c>
      <c r="E1285" s="11" t="inlineStr">
        <is>
          <t>Não</t>
        </is>
      </c>
      <c r="F1285" s="11" t="n">
        <v>29</v>
      </c>
      <c r="G1285" s="11" t="n">
        <v>0</v>
      </c>
      <c r="H1285" s="12">
        <f>IF(F1285=0,"",G1285/F1285)</f>
        <v/>
      </c>
    </row>
    <row r="1286">
      <c r="A1286" s="7" t="inlineStr">
        <is>
          <t>Simulado 02</t>
        </is>
      </c>
      <c r="B1286" s="8" t="n">
        <v>33</v>
      </c>
      <c r="C1286" s="8" t="inlineStr">
        <is>
          <t>6ª Fase</t>
        </is>
      </c>
      <c r="D1286" s="8" t="inlineStr">
        <is>
          <t>A</t>
        </is>
      </c>
      <c r="E1286" s="8" t="inlineStr">
        <is>
          <t>Sim</t>
        </is>
      </c>
      <c r="F1286" s="8" t="n">
        <v>28</v>
      </c>
      <c r="G1286" s="8" t="n">
        <v>2</v>
      </c>
      <c r="H1286" s="9">
        <f>IF(F1286=0,"",G1286/F1286)</f>
        <v/>
      </c>
    </row>
    <row r="1287">
      <c r="A1287" s="10" t="inlineStr">
        <is>
          <t>Simulado 02</t>
        </is>
      </c>
      <c r="B1287" s="11" t="n">
        <v>33</v>
      </c>
      <c r="C1287" s="11" t="inlineStr">
        <is>
          <t>6ª Fase</t>
        </is>
      </c>
      <c r="D1287" s="11" t="inlineStr">
        <is>
          <t>B</t>
        </is>
      </c>
      <c r="E1287" s="11" t="inlineStr">
        <is>
          <t>Não</t>
        </is>
      </c>
      <c r="F1287" s="11" t="n">
        <v>28</v>
      </c>
      <c r="G1287" s="11" t="n">
        <v>0</v>
      </c>
      <c r="H1287" s="12">
        <f>IF(F1287=0,"",G1287/F1287)</f>
        <v/>
      </c>
    </row>
    <row r="1288">
      <c r="A1288" s="7" t="inlineStr">
        <is>
          <t>Simulado 02</t>
        </is>
      </c>
      <c r="B1288" s="8" t="n">
        <v>33</v>
      </c>
      <c r="C1288" s="8" t="inlineStr">
        <is>
          <t>6ª Fase</t>
        </is>
      </c>
      <c r="D1288" s="8" t="inlineStr">
        <is>
          <t>C</t>
        </is>
      </c>
      <c r="E1288" s="8" t="inlineStr">
        <is>
          <t>Não</t>
        </is>
      </c>
      <c r="F1288" s="8" t="n">
        <v>28</v>
      </c>
      <c r="G1288" s="8" t="n">
        <v>9</v>
      </c>
      <c r="H1288" s="9">
        <f>IF(F1288=0,"",G1288/F1288)</f>
        <v/>
      </c>
    </row>
    <row r="1289">
      <c r="A1289" s="10" t="inlineStr">
        <is>
          <t>Simulado 02</t>
        </is>
      </c>
      <c r="B1289" s="11" t="n">
        <v>33</v>
      </c>
      <c r="C1289" s="11" t="inlineStr">
        <is>
          <t>6ª Fase</t>
        </is>
      </c>
      <c r="D1289" s="11" t="inlineStr">
        <is>
          <t>D</t>
        </is>
      </c>
      <c r="E1289" s="11" t="inlineStr">
        <is>
          <t>Não</t>
        </is>
      </c>
      <c r="F1289" s="11" t="n">
        <v>28</v>
      </c>
      <c r="G1289" s="11" t="n">
        <v>17</v>
      </c>
      <c r="H1289" s="12">
        <f>IF(F1289=0,"",G1289/F1289)</f>
        <v/>
      </c>
    </row>
    <row r="1290">
      <c r="A1290" s="7" t="inlineStr">
        <is>
          <t>Simulado 02</t>
        </is>
      </c>
      <c r="B1290" s="8" t="n">
        <v>33</v>
      </c>
      <c r="C1290" s="8" t="inlineStr">
        <is>
          <t>6ª Fase</t>
        </is>
      </c>
      <c r="D1290" s="8" t="inlineStr">
        <is>
          <t>E</t>
        </is>
      </c>
      <c r="E1290" s="8" t="inlineStr">
        <is>
          <t>Não</t>
        </is>
      </c>
      <c r="F1290" s="8" t="n">
        <v>28</v>
      </c>
      <c r="G1290" s="8" t="n">
        <v>0</v>
      </c>
      <c r="H1290" s="9">
        <f>IF(F1290=0,"",G1290/F1290)</f>
        <v/>
      </c>
    </row>
    <row r="1291">
      <c r="A1291" s="10" t="inlineStr">
        <is>
          <t>Simulado 02</t>
        </is>
      </c>
      <c r="B1291" s="11" t="n">
        <v>33</v>
      </c>
      <c r="C1291" s="11" t="inlineStr">
        <is>
          <t>7ª Fase</t>
        </is>
      </c>
      <c r="D1291" s="11" t="inlineStr">
        <is>
          <t>A</t>
        </is>
      </c>
      <c r="E1291" s="11" t="inlineStr">
        <is>
          <t>Sim</t>
        </is>
      </c>
      <c r="F1291" s="11" t="n">
        <v>32</v>
      </c>
      <c r="G1291" s="11" t="n">
        <v>1</v>
      </c>
      <c r="H1291" s="12">
        <f>IF(F1291=0,"",G1291/F1291)</f>
        <v/>
      </c>
    </row>
    <row r="1292">
      <c r="A1292" s="7" t="inlineStr">
        <is>
          <t>Simulado 02</t>
        </is>
      </c>
      <c r="B1292" s="8" t="n">
        <v>33</v>
      </c>
      <c r="C1292" s="8" t="inlineStr">
        <is>
          <t>7ª Fase</t>
        </is>
      </c>
      <c r="D1292" s="8" t="inlineStr">
        <is>
          <t>B</t>
        </is>
      </c>
      <c r="E1292" s="8" t="inlineStr">
        <is>
          <t>Não</t>
        </is>
      </c>
      <c r="F1292" s="8" t="n">
        <v>32</v>
      </c>
      <c r="G1292" s="8" t="n">
        <v>1</v>
      </c>
      <c r="H1292" s="9">
        <f>IF(F1292=0,"",G1292/F1292)</f>
        <v/>
      </c>
    </row>
    <row r="1293">
      <c r="A1293" s="10" t="inlineStr">
        <is>
          <t>Simulado 02</t>
        </is>
      </c>
      <c r="B1293" s="11" t="n">
        <v>33</v>
      </c>
      <c r="C1293" s="11" t="inlineStr">
        <is>
          <t>7ª Fase</t>
        </is>
      </c>
      <c r="D1293" s="11" t="inlineStr">
        <is>
          <t>C</t>
        </is>
      </c>
      <c r="E1293" s="11" t="inlineStr">
        <is>
          <t>Não</t>
        </is>
      </c>
      <c r="F1293" s="11" t="n">
        <v>32</v>
      </c>
      <c r="G1293" s="11" t="n">
        <v>10</v>
      </c>
      <c r="H1293" s="12">
        <f>IF(F1293=0,"",G1293/F1293)</f>
        <v/>
      </c>
    </row>
    <row r="1294">
      <c r="A1294" s="7" t="inlineStr">
        <is>
          <t>Simulado 02</t>
        </is>
      </c>
      <c r="B1294" s="8" t="n">
        <v>33</v>
      </c>
      <c r="C1294" s="8" t="inlineStr">
        <is>
          <t>7ª Fase</t>
        </is>
      </c>
      <c r="D1294" s="8" t="inlineStr">
        <is>
          <t>D</t>
        </is>
      </c>
      <c r="E1294" s="8" t="inlineStr">
        <is>
          <t>Não</t>
        </is>
      </c>
      <c r="F1294" s="8" t="n">
        <v>32</v>
      </c>
      <c r="G1294" s="8" t="n">
        <v>20</v>
      </c>
      <c r="H1294" s="9">
        <f>IF(F1294=0,"",G1294/F1294)</f>
        <v/>
      </c>
    </row>
    <row r="1295">
      <c r="A1295" s="10" t="inlineStr">
        <is>
          <t>Simulado 02</t>
        </is>
      </c>
      <c r="B1295" s="11" t="n">
        <v>33</v>
      </c>
      <c r="C1295" s="11" t="inlineStr">
        <is>
          <t>7ª Fase</t>
        </is>
      </c>
      <c r="D1295" s="11" t="inlineStr">
        <is>
          <t>E</t>
        </is>
      </c>
      <c r="E1295" s="11" t="inlineStr">
        <is>
          <t>Não</t>
        </is>
      </c>
      <c r="F1295" s="11" t="n">
        <v>32</v>
      </c>
      <c r="G1295" s="11" t="n">
        <v>0</v>
      </c>
      <c r="H1295" s="12">
        <f>IF(F1295=0,"",G1295/F1295)</f>
        <v/>
      </c>
    </row>
    <row r="1296">
      <c r="A1296" s="7" t="inlineStr">
        <is>
          <t>Simulado 02</t>
        </is>
      </c>
      <c r="B1296" s="8" t="n">
        <v>33</v>
      </c>
      <c r="C1296" s="8" t="inlineStr">
        <is>
          <t>10ª Fase</t>
        </is>
      </c>
      <c r="D1296" s="8" t="inlineStr">
        <is>
          <t>A</t>
        </is>
      </c>
      <c r="E1296" s="8" t="inlineStr">
        <is>
          <t>Sim</t>
        </is>
      </c>
      <c r="F1296" s="8" t="n">
        <v>31</v>
      </c>
      <c r="G1296" s="8" t="n">
        <v>4</v>
      </c>
      <c r="H1296" s="9">
        <f>IF(F1296=0,"",G1296/F1296)</f>
        <v/>
      </c>
    </row>
    <row r="1297">
      <c r="A1297" s="10" t="inlineStr">
        <is>
          <t>Simulado 02</t>
        </is>
      </c>
      <c r="B1297" s="11" t="n">
        <v>33</v>
      </c>
      <c r="C1297" s="11" t="inlineStr">
        <is>
          <t>10ª Fase</t>
        </is>
      </c>
      <c r="D1297" s="11" t="inlineStr">
        <is>
          <t>B</t>
        </is>
      </c>
      <c r="E1297" s="11" t="inlineStr">
        <is>
          <t>Não</t>
        </is>
      </c>
      <c r="F1297" s="11" t="n">
        <v>31</v>
      </c>
      <c r="G1297" s="11" t="n">
        <v>2</v>
      </c>
      <c r="H1297" s="12">
        <f>IF(F1297=0,"",G1297/F1297)</f>
        <v/>
      </c>
    </row>
    <row r="1298">
      <c r="A1298" s="7" t="inlineStr">
        <is>
          <t>Simulado 02</t>
        </is>
      </c>
      <c r="B1298" s="8" t="n">
        <v>33</v>
      </c>
      <c r="C1298" s="8" t="inlineStr">
        <is>
          <t>10ª Fase</t>
        </is>
      </c>
      <c r="D1298" s="8" t="inlineStr">
        <is>
          <t>C</t>
        </is>
      </c>
      <c r="E1298" s="8" t="inlineStr">
        <is>
          <t>Não</t>
        </is>
      </c>
      <c r="F1298" s="8" t="n">
        <v>31</v>
      </c>
      <c r="G1298" s="8" t="n">
        <v>5</v>
      </c>
      <c r="H1298" s="9">
        <f>IF(F1298=0,"",G1298/F1298)</f>
        <v/>
      </c>
    </row>
    <row r="1299">
      <c r="A1299" s="10" t="inlineStr">
        <is>
          <t>Simulado 02</t>
        </is>
      </c>
      <c r="B1299" s="11" t="n">
        <v>33</v>
      </c>
      <c r="C1299" s="11" t="inlineStr">
        <is>
          <t>10ª Fase</t>
        </is>
      </c>
      <c r="D1299" s="11" t="inlineStr">
        <is>
          <t>D</t>
        </is>
      </c>
      <c r="E1299" s="11" t="inlineStr">
        <is>
          <t>Não</t>
        </is>
      </c>
      <c r="F1299" s="11" t="n">
        <v>31</v>
      </c>
      <c r="G1299" s="11" t="n">
        <v>19</v>
      </c>
      <c r="H1299" s="12">
        <f>IF(F1299=0,"",G1299/F1299)</f>
        <v/>
      </c>
    </row>
    <row r="1300">
      <c r="A1300" s="7" t="inlineStr">
        <is>
          <t>Simulado 02</t>
        </is>
      </c>
      <c r="B1300" s="8" t="n">
        <v>33</v>
      </c>
      <c r="C1300" s="8" t="inlineStr">
        <is>
          <t>10ª Fase</t>
        </is>
      </c>
      <c r="D1300" s="8" t="inlineStr">
        <is>
          <t>E</t>
        </is>
      </c>
      <c r="E1300" s="8" t="inlineStr">
        <is>
          <t>Não</t>
        </is>
      </c>
      <c r="F1300" s="8" t="n">
        <v>31</v>
      </c>
      <c r="G1300" s="8" t="n">
        <v>1</v>
      </c>
      <c r="H1300" s="9">
        <f>IF(F1300=0,"",G1300/F1300)</f>
        <v/>
      </c>
    </row>
    <row r="1301">
      <c r="A1301" s="10" t="inlineStr">
        <is>
          <t>Simulado 02</t>
        </is>
      </c>
      <c r="B1301" s="11" t="n">
        <v>33</v>
      </c>
      <c r="C1301" s="11" t="inlineStr">
        <is>
          <t>11ª Fase</t>
        </is>
      </c>
      <c r="D1301" s="11" t="inlineStr">
        <is>
          <t>A</t>
        </is>
      </c>
      <c r="E1301" s="11" t="inlineStr">
        <is>
          <t>Sim</t>
        </is>
      </c>
      <c r="F1301" s="11" t="n">
        <v>29</v>
      </c>
      <c r="G1301" s="11" t="n">
        <v>6</v>
      </c>
      <c r="H1301" s="12">
        <f>IF(F1301=0,"",G1301/F1301)</f>
        <v/>
      </c>
    </row>
    <row r="1302">
      <c r="A1302" s="7" t="inlineStr">
        <is>
          <t>Simulado 02</t>
        </is>
      </c>
      <c r="B1302" s="8" t="n">
        <v>33</v>
      </c>
      <c r="C1302" s="8" t="inlineStr">
        <is>
          <t>11ª Fase</t>
        </is>
      </c>
      <c r="D1302" s="8" t="inlineStr">
        <is>
          <t>B</t>
        </is>
      </c>
      <c r="E1302" s="8" t="inlineStr">
        <is>
          <t>Não</t>
        </is>
      </c>
      <c r="F1302" s="8" t="n">
        <v>29</v>
      </c>
      <c r="G1302" s="8" t="n">
        <v>1</v>
      </c>
      <c r="H1302" s="9">
        <f>IF(F1302=0,"",G1302/F1302)</f>
        <v/>
      </c>
    </row>
    <row r="1303">
      <c r="A1303" s="10" t="inlineStr">
        <is>
          <t>Simulado 02</t>
        </is>
      </c>
      <c r="B1303" s="11" t="n">
        <v>33</v>
      </c>
      <c r="C1303" s="11" t="inlineStr">
        <is>
          <t>11ª Fase</t>
        </is>
      </c>
      <c r="D1303" s="11" t="inlineStr">
        <is>
          <t>C</t>
        </is>
      </c>
      <c r="E1303" s="11" t="inlineStr">
        <is>
          <t>Não</t>
        </is>
      </c>
      <c r="F1303" s="11" t="n">
        <v>29</v>
      </c>
      <c r="G1303" s="11" t="n">
        <v>5</v>
      </c>
      <c r="H1303" s="12">
        <f>IF(F1303=0,"",G1303/F1303)</f>
        <v/>
      </c>
    </row>
    <row r="1304">
      <c r="A1304" s="7" t="inlineStr">
        <is>
          <t>Simulado 02</t>
        </is>
      </c>
      <c r="B1304" s="8" t="n">
        <v>33</v>
      </c>
      <c r="C1304" s="8" t="inlineStr">
        <is>
          <t>11ª Fase</t>
        </is>
      </c>
      <c r="D1304" s="8" t="inlineStr">
        <is>
          <t>D</t>
        </is>
      </c>
      <c r="E1304" s="8" t="inlineStr">
        <is>
          <t>Não</t>
        </is>
      </c>
      <c r="F1304" s="8" t="n">
        <v>29</v>
      </c>
      <c r="G1304" s="8" t="n">
        <v>17</v>
      </c>
      <c r="H1304" s="9">
        <f>IF(F1304=0,"",G1304/F1304)</f>
        <v/>
      </c>
    </row>
    <row r="1305">
      <c r="A1305" s="10" t="inlineStr">
        <is>
          <t>Simulado 02</t>
        </is>
      </c>
      <c r="B1305" s="11" t="n">
        <v>33</v>
      </c>
      <c r="C1305" s="11" t="inlineStr">
        <is>
          <t>11ª Fase</t>
        </is>
      </c>
      <c r="D1305" s="11" t="inlineStr">
        <is>
          <t>E</t>
        </is>
      </c>
      <c r="E1305" s="11" t="inlineStr">
        <is>
          <t>Não</t>
        </is>
      </c>
      <c r="F1305" s="11" t="n">
        <v>29</v>
      </c>
      <c r="G1305" s="11" t="n">
        <v>0</v>
      </c>
      <c r="H1305" s="12">
        <f>IF(F1305=0,"",G1305/F1305)</f>
        <v/>
      </c>
    </row>
    <row r="1306">
      <c r="A1306" s="7" t="inlineStr">
        <is>
          <t>Simulado 02</t>
        </is>
      </c>
      <c r="B1306" s="8" t="n">
        <v>34</v>
      </c>
      <c r="C1306" s="8" t="inlineStr">
        <is>
          <t>6ª Fase</t>
        </is>
      </c>
      <c r="D1306" s="8" t="inlineStr">
        <is>
          <t>A</t>
        </is>
      </c>
      <c r="E1306" s="8" t="inlineStr">
        <is>
          <t>Não</t>
        </is>
      </c>
      <c r="F1306" s="8" t="n">
        <v>28</v>
      </c>
      <c r="G1306" s="8" t="n">
        <v>0</v>
      </c>
      <c r="H1306" s="9">
        <f>IF(F1306=0,"",G1306/F1306)</f>
        <v/>
      </c>
    </row>
    <row r="1307">
      <c r="A1307" s="10" t="inlineStr">
        <is>
          <t>Simulado 02</t>
        </is>
      </c>
      <c r="B1307" s="11" t="n">
        <v>34</v>
      </c>
      <c r="C1307" s="11" t="inlineStr">
        <is>
          <t>6ª Fase</t>
        </is>
      </c>
      <c r="D1307" s="11" t="inlineStr">
        <is>
          <t>B</t>
        </is>
      </c>
      <c r="E1307" s="11" t="inlineStr">
        <is>
          <t>Não</t>
        </is>
      </c>
      <c r="F1307" s="11" t="n">
        <v>28</v>
      </c>
      <c r="G1307" s="11" t="n">
        <v>0</v>
      </c>
      <c r="H1307" s="12">
        <f>IF(F1307=0,"",G1307/F1307)</f>
        <v/>
      </c>
    </row>
    <row r="1308">
      <c r="A1308" s="7" t="inlineStr">
        <is>
          <t>Simulado 02</t>
        </is>
      </c>
      <c r="B1308" s="8" t="n">
        <v>34</v>
      </c>
      <c r="C1308" s="8" t="inlineStr">
        <is>
          <t>6ª Fase</t>
        </is>
      </c>
      <c r="D1308" s="8" t="inlineStr">
        <is>
          <t>C</t>
        </is>
      </c>
      <c r="E1308" s="8" t="inlineStr">
        <is>
          <t>Não</t>
        </is>
      </c>
      <c r="F1308" s="8" t="n">
        <v>28</v>
      </c>
      <c r="G1308" s="8" t="n">
        <v>3</v>
      </c>
      <c r="H1308" s="9">
        <f>IF(F1308=0,"",G1308/F1308)</f>
        <v/>
      </c>
    </row>
    <row r="1309">
      <c r="A1309" s="10" t="inlineStr">
        <is>
          <t>Simulado 02</t>
        </is>
      </c>
      <c r="B1309" s="11" t="n">
        <v>34</v>
      </c>
      <c r="C1309" s="11" t="inlineStr">
        <is>
          <t>6ª Fase</t>
        </is>
      </c>
      <c r="D1309" s="11" t="inlineStr">
        <is>
          <t>D</t>
        </is>
      </c>
      <c r="E1309" s="11" t="inlineStr">
        <is>
          <t>Sim</t>
        </is>
      </c>
      <c r="F1309" s="11" t="n">
        <v>28</v>
      </c>
      <c r="G1309" s="11" t="n">
        <v>25</v>
      </c>
      <c r="H1309" s="12">
        <f>IF(F1309=0,"",G1309/F1309)</f>
        <v/>
      </c>
    </row>
    <row r="1310">
      <c r="A1310" s="7" t="inlineStr">
        <is>
          <t>Simulado 02</t>
        </is>
      </c>
      <c r="B1310" s="8" t="n">
        <v>34</v>
      </c>
      <c r="C1310" s="8" t="inlineStr">
        <is>
          <t>7ª Fase</t>
        </is>
      </c>
      <c r="D1310" s="8" t="inlineStr">
        <is>
          <t>A</t>
        </is>
      </c>
      <c r="E1310" s="8" t="inlineStr">
        <is>
          <t>Não</t>
        </is>
      </c>
      <c r="F1310" s="8" t="n">
        <v>32</v>
      </c>
      <c r="G1310" s="8" t="n">
        <v>1</v>
      </c>
      <c r="H1310" s="9">
        <f>IF(F1310=0,"",G1310/F1310)</f>
        <v/>
      </c>
    </row>
    <row r="1311">
      <c r="A1311" s="10" t="inlineStr">
        <is>
          <t>Simulado 02</t>
        </is>
      </c>
      <c r="B1311" s="11" t="n">
        <v>34</v>
      </c>
      <c r="C1311" s="11" t="inlineStr">
        <is>
          <t>7ª Fase</t>
        </is>
      </c>
      <c r="D1311" s="11" t="inlineStr">
        <is>
          <t>B</t>
        </is>
      </c>
      <c r="E1311" s="11" t="inlineStr">
        <is>
          <t>Não</t>
        </is>
      </c>
      <c r="F1311" s="11" t="n">
        <v>32</v>
      </c>
      <c r="G1311" s="11" t="n">
        <v>0</v>
      </c>
      <c r="H1311" s="12">
        <f>IF(F1311=0,"",G1311/F1311)</f>
        <v/>
      </c>
    </row>
    <row r="1312">
      <c r="A1312" s="7" t="inlineStr">
        <is>
          <t>Simulado 02</t>
        </is>
      </c>
      <c r="B1312" s="8" t="n">
        <v>34</v>
      </c>
      <c r="C1312" s="8" t="inlineStr">
        <is>
          <t>7ª Fase</t>
        </is>
      </c>
      <c r="D1312" s="8" t="inlineStr">
        <is>
          <t>C</t>
        </is>
      </c>
      <c r="E1312" s="8" t="inlineStr">
        <is>
          <t>Não</t>
        </is>
      </c>
      <c r="F1312" s="8" t="n">
        <v>32</v>
      </c>
      <c r="G1312" s="8" t="n">
        <v>2</v>
      </c>
      <c r="H1312" s="9">
        <f>IF(F1312=0,"",G1312/F1312)</f>
        <v/>
      </c>
    </row>
    <row r="1313">
      <c r="A1313" s="10" t="inlineStr">
        <is>
          <t>Simulado 02</t>
        </is>
      </c>
      <c r="B1313" s="11" t="n">
        <v>34</v>
      </c>
      <c r="C1313" s="11" t="inlineStr">
        <is>
          <t>7ª Fase</t>
        </is>
      </c>
      <c r="D1313" s="11" t="inlineStr">
        <is>
          <t>D</t>
        </is>
      </c>
      <c r="E1313" s="11" t="inlineStr">
        <is>
          <t>Sim</t>
        </is>
      </c>
      <c r="F1313" s="11" t="n">
        <v>32</v>
      </c>
      <c r="G1313" s="11" t="n">
        <v>29</v>
      </c>
      <c r="H1313" s="12">
        <f>IF(F1313=0,"",G1313/F1313)</f>
        <v/>
      </c>
    </row>
    <row r="1314">
      <c r="A1314" s="7" t="inlineStr">
        <is>
          <t>Simulado 02</t>
        </is>
      </c>
      <c r="B1314" s="8" t="n">
        <v>34</v>
      </c>
      <c r="C1314" s="8" t="inlineStr">
        <is>
          <t>10ª Fase</t>
        </is>
      </c>
      <c r="D1314" s="8" t="inlineStr">
        <is>
          <t>A</t>
        </is>
      </c>
      <c r="E1314" s="8" t="inlineStr">
        <is>
          <t>Não</t>
        </is>
      </c>
      <c r="F1314" s="8" t="n">
        <v>31</v>
      </c>
      <c r="G1314" s="8" t="n">
        <v>0</v>
      </c>
      <c r="H1314" s="9">
        <f>IF(F1314=0,"",G1314/F1314)</f>
        <v/>
      </c>
    </row>
    <row r="1315">
      <c r="A1315" s="10" t="inlineStr">
        <is>
          <t>Simulado 02</t>
        </is>
      </c>
      <c r="B1315" s="11" t="n">
        <v>34</v>
      </c>
      <c r="C1315" s="11" t="inlineStr">
        <is>
          <t>10ª Fase</t>
        </is>
      </c>
      <c r="D1315" s="11" t="inlineStr">
        <is>
          <t>B</t>
        </is>
      </c>
      <c r="E1315" s="11" t="inlineStr">
        <is>
          <t>Não</t>
        </is>
      </c>
      <c r="F1315" s="11" t="n">
        <v>31</v>
      </c>
      <c r="G1315" s="11" t="n">
        <v>0</v>
      </c>
      <c r="H1315" s="12">
        <f>IF(F1315=0,"",G1315/F1315)</f>
        <v/>
      </c>
    </row>
    <row r="1316">
      <c r="A1316" s="7" t="inlineStr">
        <is>
          <t>Simulado 02</t>
        </is>
      </c>
      <c r="B1316" s="8" t="n">
        <v>34</v>
      </c>
      <c r="C1316" s="8" t="inlineStr">
        <is>
          <t>10ª Fase</t>
        </is>
      </c>
      <c r="D1316" s="8" t="inlineStr">
        <is>
          <t>C</t>
        </is>
      </c>
      <c r="E1316" s="8" t="inlineStr">
        <is>
          <t>Não</t>
        </is>
      </c>
      <c r="F1316" s="8" t="n">
        <v>31</v>
      </c>
      <c r="G1316" s="8" t="n">
        <v>4</v>
      </c>
      <c r="H1316" s="9">
        <f>IF(F1316=0,"",G1316/F1316)</f>
        <v/>
      </c>
    </row>
    <row r="1317">
      <c r="A1317" s="10" t="inlineStr">
        <is>
          <t>Simulado 02</t>
        </is>
      </c>
      <c r="B1317" s="11" t="n">
        <v>34</v>
      </c>
      <c r="C1317" s="11" t="inlineStr">
        <is>
          <t>10ª Fase</t>
        </is>
      </c>
      <c r="D1317" s="11" t="inlineStr">
        <is>
          <t>D</t>
        </is>
      </c>
      <c r="E1317" s="11" t="inlineStr">
        <is>
          <t>Sim</t>
        </is>
      </c>
      <c r="F1317" s="11" t="n">
        <v>31</v>
      </c>
      <c r="G1317" s="11" t="n">
        <v>27</v>
      </c>
      <c r="H1317" s="12">
        <f>IF(F1317=0,"",G1317/F1317)</f>
        <v/>
      </c>
    </row>
    <row r="1318">
      <c r="A1318" s="7" t="inlineStr">
        <is>
          <t>Simulado 02</t>
        </is>
      </c>
      <c r="B1318" s="8" t="n">
        <v>34</v>
      </c>
      <c r="C1318" s="8" t="inlineStr">
        <is>
          <t>11ª Fase</t>
        </is>
      </c>
      <c r="D1318" s="8" t="inlineStr">
        <is>
          <t>A</t>
        </is>
      </c>
      <c r="E1318" s="8" t="inlineStr">
        <is>
          <t>Não</t>
        </is>
      </c>
      <c r="F1318" s="8" t="n">
        <v>29</v>
      </c>
      <c r="G1318" s="8" t="n">
        <v>2</v>
      </c>
      <c r="H1318" s="9">
        <f>IF(F1318=0,"",G1318/F1318)</f>
        <v/>
      </c>
    </row>
    <row r="1319">
      <c r="A1319" s="10" t="inlineStr">
        <is>
          <t>Simulado 02</t>
        </is>
      </c>
      <c r="B1319" s="11" t="n">
        <v>34</v>
      </c>
      <c r="C1319" s="11" t="inlineStr">
        <is>
          <t>11ª Fase</t>
        </is>
      </c>
      <c r="D1319" s="11" t="inlineStr">
        <is>
          <t>B</t>
        </is>
      </c>
      <c r="E1319" s="11" t="inlineStr">
        <is>
          <t>Não</t>
        </is>
      </c>
      <c r="F1319" s="11" t="n">
        <v>29</v>
      </c>
      <c r="G1319" s="11" t="n">
        <v>0</v>
      </c>
      <c r="H1319" s="12">
        <f>IF(F1319=0,"",G1319/F1319)</f>
        <v/>
      </c>
    </row>
    <row r="1320">
      <c r="A1320" s="7" t="inlineStr">
        <is>
          <t>Simulado 02</t>
        </is>
      </c>
      <c r="B1320" s="8" t="n">
        <v>34</v>
      </c>
      <c r="C1320" s="8" t="inlineStr">
        <is>
          <t>11ª Fase</t>
        </is>
      </c>
      <c r="D1320" s="8" t="inlineStr">
        <is>
          <t>C</t>
        </is>
      </c>
      <c r="E1320" s="8" t="inlineStr">
        <is>
          <t>Não</t>
        </is>
      </c>
      <c r="F1320" s="8" t="n">
        <v>29</v>
      </c>
      <c r="G1320" s="8" t="n">
        <v>3</v>
      </c>
      <c r="H1320" s="9">
        <f>IF(F1320=0,"",G1320/F1320)</f>
        <v/>
      </c>
    </row>
    <row r="1321">
      <c r="A1321" s="10" t="inlineStr">
        <is>
          <t>Simulado 02</t>
        </is>
      </c>
      <c r="B1321" s="11" t="n">
        <v>34</v>
      </c>
      <c r="C1321" s="11" t="inlineStr">
        <is>
          <t>11ª Fase</t>
        </is>
      </c>
      <c r="D1321" s="11" t="inlineStr">
        <is>
          <t>D</t>
        </is>
      </c>
      <c r="E1321" s="11" t="inlineStr">
        <is>
          <t>Sim</t>
        </is>
      </c>
      <c r="F1321" s="11" t="n">
        <v>29</v>
      </c>
      <c r="G1321" s="11" t="n">
        <v>24</v>
      </c>
      <c r="H1321" s="12">
        <f>IF(F1321=0,"",G1321/F1321)</f>
        <v/>
      </c>
    </row>
    <row r="1322">
      <c r="A1322" s="7" t="inlineStr">
        <is>
          <t>Simulado 02</t>
        </is>
      </c>
      <c r="B1322" s="8" t="n">
        <v>35</v>
      </c>
      <c r="C1322" s="8" t="inlineStr">
        <is>
          <t>6ª Fase</t>
        </is>
      </c>
      <c r="D1322" s="8" t="inlineStr">
        <is>
          <t>A</t>
        </is>
      </c>
      <c r="E1322" s="8" t="inlineStr">
        <is>
          <t>Sim</t>
        </is>
      </c>
      <c r="F1322" s="8" t="n">
        <v>28</v>
      </c>
      <c r="G1322" s="8" t="n">
        <v>9</v>
      </c>
      <c r="H1322" s="9">
        <f>IF(F1322=0,"",G1322/F1322)</f>
        <v/>
      </c>
    </row>
    <row r="1323">
      <c r="A1323" s="10" t="inlineStr">
        <is>
          <t>Simulado 02</t>
        </is>
      </c>
      <c r="B1323" s="11" t="n">
        <v>35</v>
      </c>
      <c r="C1323" s="11" t="inlineStr">
        <is>
          <t>6ª Fase</t>
        </is>
      </c>
      <c r="D1323" s="11" t="inlineStr">
        <is>
          <t>B</t>
        </is>
      </c>
      <c r="E1323" s="11" t="inlineStr">
        <is>
          <t>Não</t>
        </is>
      </c>
      <c r="F1323" s="11" t="n">
        <v>28</v>
      </c>
      <c r="G1323" s="11" t="n">
        <v>11</v>
      </c>
      <c r="H1323" s="12">
        <f>IF(F1323=0,"",G1323/F1323)</f>
        <v/>
      </c>
    </row>
    <row r="1324">
      <c r="A1324" s="7" t="inlineStr">
        <is>
          <t>Simulado 02</t>
        </is>
      </c>
      <c r="B1324" s="8" t="n">
        <v>35</v>
      </c>
      <c r="C1324" s="8" t="inlineStr">
        <is>
          <t>6ª Fase</t>
        </is>
      </c>
      <c r="D1324" s="8" t="inlineStr">
        <is>
          <t>C</t>
        </is>
      </c>
      <c r="E1324" s="8" t="inlineStr">
        <is>
          <t>Não</t>
        </is>
      </c>
      <c r="F1324" s="8" t="n">
        <v>28</v>
      </c>
      <c r="G1324" s="8" t="n">
        <v>0</v>
      </c>
      <c r="H1324" s="9">
        <f>IF(F1324=0,"",G1324/F1324)</f>
        <v/>
      </c>
    </row>
    <row r="1325">
      <c r="A1325" s="10" t="inlineStr">
        <is>
          <t>Simulado 02</t>
        </is>
      </c>
      <c r="B1325" s="11" t="n">
        <v>35</v>
      </c>
      <c r="C1325" s="11" t="inlineStr">
        <is>
          <t>6ª Fase</t>
        </is>
      </c>
      <c r="D1325" s="11" t="inlineStr">
        <is>
          <t>D</t>
        </is>
      </c>
      <c r="E1325" s="11" t="inlineStr">
        <is>
          <t>Não</t>
        </is>
      </c>
      <c r="F1325" s="11" t="n">
        <v>28</v>
      </c>
      <c r="G1325" s="11" t="n">
        <v>8</v>
      </c>
      <c r="H1325" s="12">
        <f>IF(F1325=0,"",G1325/F1325)</f>
        <v/>
      </c>
    </row>
    <row r="1326">
      <c r="A1326" s="7" t="inlineStr">
        <is>
          <t>Simulado 02</t>
        </is>
      </c>
      <c r="B1326" s="8" t="n">
        <v>35</v>
      </c>
      <c r="C1326" s="8" t="inlineStr">
        <is>
          <t>7ª Fase</t>
        </is>
      </c>
      <c r="D1326" s="8" t="inlineStr">
        <is>
          <t>A</t>
        </is>
      </c>
      <c r="E1326" s="8" t="inlineStr">
        <is>
          <t>Sim</t>
        </is>
      </c>
      <c r="F1326" s="8" t="n">
        <v>32</v>
      </c>
      <c r="G1326" s="8" t="n">
        <v>14</v>
      </c>
      <c r="H1326" s="9">
        <f>IF(F1326=0,"",G1326/F1326)</f>
        <v/>
      </c>
    </row>
    <row r="1327">
      <c r="A1327" s="10" t="inlineStr">
        <is>
          <t>Simulado 02</t>
        </is>
      </c>
      <c r="B1327" s="11" t="n">
        <v>35</v>
      </c>
      <c r="C1327" s="11" t="inlineStr">
        <is>
          <t>7ª Fase</t>
        </is>
      </c>
      <c r="D1327" s="11" t="inlineStr">
        <is>
          <t>B</t>
        </is>
      </c>
      <c r="E1327" s="11" t="inlineStr">
        <is>
          <t>Não</t>
        </is>
      </c>
      <c r="F1327" s="11" t="n">
        <v>32</v>
      </c>
      <c r="G1327" s="11" t="n">
        <v>6</v>
      </c>
      <c r="H1327" s="12">
        <f>IF(F1327=0,"",G1327/F1327)</f>
        <v/>
      </c>
    </row>
    <row r="1328">
      <c r="A1328" s="7" t="inlineStr">
        <is>
          <t>Simulado 02</t>
        </is>
      </c>
      <c r="B1328" s="8" t="n">
        <v>35</v>
      </c>
      <c r="C1328" s="8" t="inlineStr">
        <is>
          <t>7ª Fase</t>
        </is>
      </c>
      <c r="D1328" s="8" t="inlineStr">
        <is>
          <t>C</t>
        </is>
      </c>
      <c r="E1328" s="8" t="inlineStr">
        <is>
          <t>Não</t>
        </is>
      </c>
      <c r="F1328" s="8" t="n">
        <v>32</v>
      </c>
      <c r="G1328" s="8" t="n">
        <v>0</v>
      </c>
      <c r="H1328" s="9">
        <f>IF(F1328=0,"",G1328/F1328)</f>
        <v/>
      </c>
    </row>
    <row r="1329">
      <c r="A1329" s="10" t="inlineStr">
        <is>
          <t>Simulado 02</t>
        </is>
      </c>
      <c r="B1329" s="11" t="n">
        <v>35</v>
      </c>
      <c r="C1329" s="11" t="inlineStr">
        <is>
          <t>7ª Fase</t>
        </is>
      </c>
      <c r="D1329" s="11" t="inlineStr">
        <is>
          <t>D</t>
        </is>
      </c>
      <c r="E1329" s="11" t="inlineStr">
        <is>
          <t>Não</t>
        </is>
      </c>
      <c r="F1329" s="11" t="n">
        <v>32</v>
      </c>
      <c r="G1329" s="11" t="n">
        <v>12</v>
      </c>
      <c r="H1329" s="12">
        <f>IF(F1329=0,"",G1329/F1329)</f>
        <v/>
      </c>
    </row>
    <row r="1330">
      <c r="A1330" s="7" t="inlineStr">
        <is>
          <t>Simulado 02</t>
        </is>
      </c>
      <c r="B1330" s="8" t="n">
        <v>35</v>
      </c>
      <c r="C1330" s="8" t="inlineStr">
        <is>
          <t>10ª Fase</t>
        </is>
      </c>
      <c r="D1330" s="8" t="inlineStr">
        <is>
          <t>A</t>
        </is>
      </c>
      <c r="E1330" s="8" t="inlineStr">
        <is>
          <t>Sim</t>
        </is>
      </c>
      <c r="F1330" s="8" t="n">
        <v>31</v>
      </c>
      <c r="G1330" s="8" t="n">
        <v>13</v>
      </c>
      <c r="H1330" s="9">
        <f>IF(F1330=0,"",G1330/F1330)</f>
        <v/>
      </c>
    </row>
    <row r="1331">
      <c r="A1331" s="10" t="inlineStr">
        <is>
          <t>Simulado 02</t>
        </is>
      </c>
      <c r="B1331" s="11" t="n">
        <v>35</v>
      </c>
      <c r="C1331" s="11" t="inlineStr">
        <is>
          <t>10ª Fase</t>
        </is>
      </c>
      <c r="D1331" s="11" t="inlineStr">
        <is>
          <t>B</t>
        </is>
      </c>
      <c r="E1331" s="11" t="inlineStr">
        <is>
          <t>Não</t>
        </is>
      </c>
      <c r="F1331" s="11" t="n">
        <v>31</v>
      </c>
      <c r="G1331" s="11" t="n">
        <v>16</v>
      </c>
      <c r="H1331" s="12">
        <f>IF(F1331=0,"",G1331/F1331)</f>
        <v/>
      </c>
    </row>
    <row r="1332">
      <c r="A1332" s="7" t="inlineStr">
        <is>
          <t>Simulado 02</t>
        </is>
      </c>
      <c r="B1332" s="8" t="n">
        <v>35</v>
      </c>
      <c r="C1332" s="8" t="inlineStr">
        <is>
          <t>10ª Fase</t>
        </is>
      </c>
      <c r="D1332" s="8" t="inlineStr">
        <is>
          <t>C</t>
        </is>
      </c>
      <c r="E1332" s="8" t="inlineStr">
        <is>
          <t>Não</t>
        </is>
      </c>
      <c r="F1332" s="8" t="n">
        <v>31</v>
      </c>
      <c r="G1332" s="8" t="n">
        <v>0</v>
      </c>
      <c r="H1332" s="9">
        <f>IF(F1332=0,"",G1332/F1332)</f>
        <v/>
      </c>
    </row>
    <row r="1333">
      <c r="A1333" s="10" t="inlineStr">
        <is>
          <t>Simulado 02</t>
        </is>
      </c>
      <c r="B1333" s="11" t="n">
        <v>35</v>
      </c>
      <c r="C1333" s="11" t="inlineStr">
        <is>
          <t>10ª Fase</t>
        </is>
      </c>
      <c r="D1333" s="11" t="inlineStr">
        <is>
          <t>D</t>
        </is>
      </c>
      <c r="E1333" s="11" t="inlineStr">
        <is>
          <t>Não</t>
        </is>
      </c>
      <c r="F1333" s="11" t="n">
        <v>31</v>
      </c>
      <c r="G1333" s="11" t="n">
        <v>2</v>
      </c>
      <c r="H1333" s="12">
        <f>IF(F1333=0,"",G1333/F1333)</f>
        <v/>
      </c>
    </row>
    <row r="1334">
      <c r="A1334" s="7" t="inlineStr">
        <is>
          <t>Simulado 02</t>
        </is>
      </c>
      <c r="B1334" s="8" t="n">
        <v>35</v>
      </c>
      <c r="C1334" s="8" t="inlineStr">
        <is>
          <t>11ª Fase</t>
        </is>
      </c>
      <c r="D1334" s="8" t="inlineStr">
        <is>
          <t>A</t>
        </is>
      </c>
      <c r="E1334" s="8" t="inlineStr">
        <is>
          <t>Sim</t>
        </is>
      </c>
      <c r="F1334" s="8" t="n">
        <v>29</v>
      </c>
      <c r="G1334" s="8" t="n">
        <v>19</v>
      </c>
      <c r="H1334" s="9">
        <f>IF(F1334=0,"",G1334/F1334)</f>
        <v/>
      </c>
    </row>
    <row r="1335">
      <c r="A1335" s="10" t="inlineStr">
        <is>
          <t>Simulado 02</t>
        </is>
      </c>
      <c r="B1335" s="11" t="n">
        <v>35</v>
      </c>
      <c r="C1335" s="11" t="inlineStr">
        <is>
          <t>11ª Fase</t>
        </is>
      </c>
      <c r="D1335" s="11" t="inlineStr">
        <is>
          <t>B</t>
        </is>
      </c>
      <c r="E1335" s="11" t="inlineStr">
        <is>
          <t>Não</t>
        </is>
      </c>
      <c r="F1335" s="11" t="n">
        <v>29</v>
      </c>
      <c r="G1335" s="11" t="n">
        <v>9</v>
      </c>
      <c r="H1335" s="12">
        <f>IF(F1335=0,"",G1335/F1335)</f>
        <v/>
      </c>
    </row>
    <row r="1336">
      <c r="A1336" s="7" t="inlineStr">
        <is>
          <t>Simulado 02</t>
        </is>
      </c>
      <c r="B1336" s="8" t="n">
        <v>35</v>
      </c>
      <c r="C1336" s="8" t="inlineStr">
        <is>
          <t>11ª Fase</t>
        </is>
      </c>
      <c r="D1336" s="8" t="inlineStr">
        <is>
          <t>C</t>
        </is>
      </c>
      <c r="E1336" s="8" t="inlineStr">
        <is>
          <t>Não</t>
        </is>
      </c>
      <c r="F1336" s="8" t="n">
        <v>29</v>
      </c>
      <c r="G1336" s="8" t="n">
        <v>0</v>
      </c>
      <c r="H1336" s="9">
        <f>IF(F1336=0,"",G1336/F1336)</f>
        <v/>
      </c>
    </row>
    <row r="1337">
      <c r="A1337" s="10" t="inlineStr">
        <is>
          <t>Simulado 02</t>
        </is>
      </c>
      <c r="B1337" s="11" t="n">
        <v>35</v>
      </c>
      <c r="C1337" s="11" t="inlineStr">
        <is>
          <t>11ª Fase</t>
        </is>
      </c>
      <c r="D1337" s="11" t="inlineStr">
        <is>
          <t>D</t>
        </is>
      </c>
      <c r="E1337" s="11" t="inlineStr">
        <is>
          <t>Não</t>
        </is>
      </c>
      <c r="F1337" s="11" t="n">
        <v>29</v>
      </c>
      <c r="G1337" s="11" t="n">
        <v>1</v>
      </c>
      <c r="H1337" s="12">
        <f>IF(F1337=0,"",G1337/F1337)</f>
        <v/>
      </c>
    </row>
    <row r="1338">
      <c r="A1338" s="7" t="inlineStr">
        <is>
          <t>Simulado 02</t>
        </is>
      </c>
      <c r="B1338" s="8" t="n">
        <v>36</v>
      </c>
      <c r="C1338" s="8" t="inlineStr">
        <is>
          <t>6ª Fase</t>
        </is>
      </c>
      <c r="D1338" s="8" t="inlineStr">
        <is>
          <t>A</t>
        </is>
      </c>
      <c r="E1338" s="8" t="inlineStr">
        <is>
          <t>Não</t>
        </is>
      </c>
      <c r="F1338" s="8" t="n">
        <v>28</v>
      </c>
      <c r="G1338" s="8" t="n">
        <v>10</v>
      </c>
      <c r="H1338" s="9">
        <f>IF(F1338=0,"",G1338/F1338)</f>
        <v/>
      </c>
    </row>
    <row r="1339">
      <c r="A1339" s="10" t="inlineStr">
        <is>
          <t>Simulado 02</t>
        </is>
      </c>
      <c r="B1339" s="11" t="n">
        <v>36</v>
      </c>
      <c r="C1339" s="11" t="inlineStr">
        <is>
          <t>6ª Fase</t>
        </is>
      </c>
      <c r="D1339" s="11" t="inlineStr">
        <is>
          <t>B</t>
        </is>
      </c>
      <c r="E1339" s="11" t="inlineStr">
        <is>
          <t>Sim</t>
        </is>
      </c>
      <c r="F1339" s="11" t="n">
        <v>28</v>
      </c>
      <c r="G1339" s="11" t="n">
        <v>17</v>
      </c>
      <c r="H1339" s="12">
        <f>IF(F1339=0,"",G1339/F1339)</f>
        <v/>
      </c>
    </row>
    <row r="1340">
      <c r="A1340" s="7" t="inlineStr">
        <is>
          <t>Simulado 02</t>
        </is>
      </c>
      <c r="B1340" s="8" t="n">
        <v>36</v>
      </c>
      <c r="C1340" s="8" t="inlineStr">
        <is>
          <t>6ª Fase</t>
        </is>
      </c>
      <c r="D1340" s="8" t="inlineStr">
        <is>
          <t>C</t>
        </is>
      </c>
      <c r="E1340" s="8" t="inlineStr">
        <is>
          <t>Não</t>
        </is>
      </c>
      <c r="F1340" s="8" t="n">
        <v>28</v>
      </c>
      <c r="G1340" s="8" t="n">
        <v>0</v>
      </c>
      <c r="H1340" s="9">
        <f>IF(F1340=0,"",G1340/F1340)</f>
        <v/>
      </c>
    </row>
    <row r="1341">
      <c r="A1341" s="10" t="inlineStr">
        <is>
          <t>Simulado 02</t>
        </is>
      </c>
      <c r="B1341" s="11" t="n">
        <v>36</v>
      </c>
      <c r="C1341" s="11" t="inlineStr">
        <is>
          <t>6ª Fase</t>
        </is>
      </c>
      <c r="D1341" s="11" t="inlineStr">
        <is>
          <t>D</t>
        </is>
      </c>
      <c r="E1341" s="11" t="inlineStr">
        <is>
          <t>Não</t>
        </is>
      </c>
      <c r="F1341" s="11" t="n">
        <v>28</v>
      </c>
      <c r="G1341" s="11" t="n">
        <v>1</v>
      </c>
      <c r="H1341" s="12">
        <f>IF(F1341=0,"",G1341/F1341)</f>
        <v/>
      </c>
    </row>
    <row r="1342">
      <c r="A1342" s="7" t="inlineStr">
        <is>
          <t>Simulado 02</t>
        </is>
      </c>
      <c r="B1342" s="8" t="n">
        <v>36</v>
      </c>
      <c r="C1342" s="8" t="inlineStr">
        <is>
          <t>7ª Fase</t>
        </is>
      </c>
      <c r="D1342" s="8" t="inlineStr">
        <is>
          <t>A</t>
        </is>
      </c>
      <c r="E1342" s="8" t="inlineStr">
        <is>
          <t>Não</t>
        </is>
      </c>
      <c r="F1342" s="8" t="n">
        <v>32</v>
      </c>
      <c r="G1342" s="8" t="n">
        <v>15</v>
      </c>
      <c r="H1342" s="9">
        <f>IF(F1342=0,"",G1342/F1342)</f>
        <v/>
      </c>
    </row>
    <row r="1343">
      <c r="A1343" s="10" t="inlineStr">
        <is>
          <t>Simulado 02</t>
        </is>
      </c>
      <c r="B1343" s="11" t="n">
        <v>36</v>
      </c>
      <c r="C1343" s="11" t="inlineStr">
        <is>
          <t>7ª Fase</t>
        </is>
      </c>
      <c r="D1343" s="11" t="inlineStr">
        <is>
          <t>B</t>
        </is>
      </c>
      <c r="E1343" s="11" t="inlineStr">
        <is>
          <t>Sim</t>
        </is>
      </c>
      <c r="F1343" s="11" t="n">
        <v>32</v>
      </c>
      <c r="G1343" s="11" t="n">
        <v>16</v>
      </c>
      <c r="H1343" s="12">
        <f>IF(F1343=0,"",G1343/F1343)</f>
        <v/>
      </c>
    </row>
    <row r="1344">
      <c r="A1344" s="7" t="inlineStr">
        <is>
          <t>Simulado 02</t>
        </is>
      </c>
      <c r="B1344" s="8" t="n">
        <v>36</v>
      </c>
      <c r="C1344" s="8" t="inlineStr">
        <is>
          <t>7ª Fase</t>
        </is>
      </c>
      <c r="D1344" s="8" t="inlineStr">
        <is>
          <t>C</t>
        </is>
      </c>
      <c r="E1344" s="8" t="inlineStr">
        <is>
          <t>Não</t>
        </is>
      </c>
      <c r="F1344" s="8" t="n">
        <v>32</v>
      </c>
      <c r="G1344" s="8" t="n">
        <v>1</v>
      </c>
      <c r="H1344" s="9">
        <f>IF(F1344=0,"",G1344/F1344)</f>
        <v/>
      </c>
    </row>
    <row r="1345">
      <c r="A1345" s="10" t="inlineStr">
        <is>
          <t>Simulado 02</t>
        </is>
      </c>
      <c r="B1345" s="11" t="n">
        <v>36</v>
      </c>
      <c r="C1345" s="11" t="inlineStr">
        <is>
          <t>7ª Fase</t>
        </is>
      </c>
      <c r="D1345" s="11" t="inlineStr">
        <is>
          <t>D</t>
        </is>
      </c>
      <c r="E1345" s="11" t="inlineStr">
        <is>
          <t>Não</t>
        </is>
      </c>
      <c r="F1345" s="11" t="n">
        <v>32</v>
      </c>
      <c r="G1345" s="11" t="n">
        <v>0</v>
      </c>
      <c r="H1345" s="12">
        <f>IF(F1345=0,"",G1345/F1345)</f>
        <v/>
      </c>
    </row>
    <row r="1346">
      <c r="A1346" s="7" t="inlineStr">
        <is>
          <t>Simulado 02</t>
        </is>
      </c>
      <c r="B1346" s="8" t="n">
        <v>36</v>
      </c>
      <c r="C1346" s="8" t="inlineStr">
        <is>
          <t>10ª Fase</t>
        </is>
      </c>
      <c r="D1346" s="8" t="inlineStr">
        <is>
          <t>A</t>
        </is>
      </c>
      <c r="E1346" s="8" t="inlineStr">
        <is>
          <t>Não</t>
        </is>
      </c>
      <c r="F1346" s="8" t="n">
        <v>31</v>
      </c>
      <c r="G1346" s="8" t="n">
        <v>10</v>
      </c>
      <c r="H1346" s="9">
        <f>IF(F1346=0,"",G1346/F1346)</f>
        <v/>
      </c>
    </row>
    <row r="1347">
      <c r="A1347" s="10" t="inlineStr">
        <is>
          <t>Simulado 02</t>
        </is>
      </c>
      <c r="B1347" s="11" t="n">
        <v>36</v>
      </c>
      <c r="C1347" s="11" t="inlineStr">
        <is>
          <t>10ª Fase</t>
        </is>
      </c>
      <c r="D1347" s="11" t="inlineStr">
        <is>
          <t>B</t>
        </is>
      </c>
      <c r="E1347" s="11" t="inlineStr">
        <is>
          <t>Sim</t>
        </is>
      </c>
      <c r="F1347" s="11" t="n">
        <v>31</v>
      </c>
      <c r="G1347" s="11" t="n">
        <v>19</v>
      </c>
      <c r="H1347" s="12">
        <f>IF(F1347=0,"",G1347/F1347)</f>
        <v/>
      </c>
    </row>
    <row r="1348">
      <c r="A1348" s="7" t="inlineStr">
        <is>
          <t>Simulado 02</t>
        </is>
      </c>
      <c r="B1348" s="8" t="n">
        <v>36</v>
      </c>
      <c r="C1348" s="8" t="inlineStr">
        <is>
          <t>10ª Fase</t>
        </is>
      </c>
      <c r="D1348" s="8" t="inlineStr">
        <is>
          <t>C</t>
        </is>
      </c>
      <c r="E1348" s="8" t="inlineStr">
        <is>
          <t>Não</t>
        </is>
      </c>
      <c r="F1348" s="8" t="n">
        <v>31</v>
      </c>
      <c r="G1348" s="8" t="n">
        <v>0</v>
      </c>
      <c r="H1348" s="9">
        <f>IF(F1348=0,"",G1348/F1348)</f>
        <v/>
      </c>
    </row>
    <row r="1349">
      <c r="A1349" s="10" t="inlineStr">
        <is>
          <t>Simulado 02</t>
        </is>
      </c>
      <c r="B1349" s="11" t="n">
        <v>36</v>
      </c>
      <c r="C1349" s="11" t="inlineStr">
        <is>
          <t>10ª Fase</t>
        </is>
      </c>
      <c r="D1349" s="11" t="inlineStr">
        <is>
          <t>D</t>
        </is>
      </c>
      <c r="E1349" s="11" t="inlineStr">
        <is>
          <t>Não</t>
        </is>
      </c>
      <c r="F1349" s="11" t="n">
        <v>31</v>
      </c>
      <c r="G1349" s="11" t="n">
        <v>2</v>
      </c>
      <c r="H1349" s="12">
        <f>IF(F1349=0,"",G1349/F1349)</f>
        <v/>
      </c>
    </row>
    <row r="1350">
      <c r="A1350" s="7" t="inlineStr">
        <is>
          <t>Simulado 02</t>
        </is>
      </c>
      <c r="B1350" s="8" t="n">
        <v>36</v>
      </c>
      <c r="C1350" s="8" t="inlineStr">
        <is>
          <t>11ª Fase</t>
        </is>
      </c>
      <c r="D1350" s="8" t="inlineStr">
        <is>
          <t>A</t>
        </is>
      </c>
      <c r="E1350" s="8" t="inlineStr">
        <is>
          <t>Não</t>
        </is>
      </c>
      <c r="F1350" s="8" t="n">
        <v>29</v>
      </c>
      <c r="G1350" s="8" t="n">
        <v>10</v>
      </c>
      <c r="H1350" s="9">
        <f>IF(F1350=0,"",G1350/F1350)</f>
        <v/>
      </c>
    </row>
    <row r="1351">
      <c r="A1351" s="10" t="inlineStr">
        <is>
          <t>Simulado 02</t>
        </is>
      </c>
      <c r="B1351" s="11" t="n">
        <v>36</v>
      </c>
      <c r="C1351" s="11" t="inlineStr">
        <is>
          <t>11ª Fase</t>
        </is>
      </c>
      <c r="D1351" s="11" t="inlineStr">
        <is>
          <t>B</t>
        </is>
      </c>
      <c r="E1351" s="11" t="inlineStr">
        <is>
          <t>Sim</t>
        </is>
      </c>
      <c r="F1351" s="11" t="n">
        <v>29</v>
      </c>
      <c r="G1351" s="11" t="n">
        <v>17</v>
      </c>
      <c r="H1351" s="12">
        <f>IF(F1351=0,"",G1351/F1351)</f>
        <v/>
      </c>
    </row>
    <row r="1352">
      <c r="A1352" s="7" t="inlineStr">
        <is>
          <t>Simulado 02</t>
        </is>
      </c>
      <c r="B1352" s="8" t="n">
        <v>36</v>
      </c>
      <c r="C1352" s="8" t="inlineStr">
        <is>
          <t>11ª Fase</t>
        </is>
      </c>
      <c r="D1352" s="8" t="inlineStr">
        <is>
          <t>C</t>
        </is>
      </c>
      <c r="E1352" s="8" t="inlineStr">
        <is>
          <t>Não</t>
        </is>
      </c>
      <c r="F1352" s="8" t="n">
        <v>29</v>
      </c>
      <c r="G1352" s="8" t="n">
        <v>1</v>
      </c>
      <c r="H1352" s="9">
        <f>IF(F1352=0,"",G1352/F1352)</f>
        <v/>
      </c>
    </row>
    <row r="1353">
      <c r="A1353" s="10" t="inlineStr">
        <is>
          <t>Simulado 02</t>
        </is>
      </c>
      <c r="B1353" s="11" t="n">
        <v>36</v>
      </c>
      <c r="C1353" s="11" t="inlineStr">
        <is>
          <t>11ª Fase</t>
        </is>
      </c>
      <c r="D1353" s="11" t="inlineStr">
        <is>
          <t>D</t>
        </is>
      </c>
      <c r="E1353" s="11" t="inlineStr">
        <is>
          <t>Não</t>
        </is>
      </c>
      <c r="F1353" s="11" t="n">
        <v>29</v>
      </c>
      <c r="G1353" s="11" t="n">
        <v>1</v>
      </c>
      <c r="H1353" s="12">
        <f>IF(F1353=0,"",G1353/F1353)</f>
        <v/>
      </c>
    </row>
    <row r="1354">
      <c r="A1354" s="7" t="inlineStr">
        <is>
          <t>Simulado 02</t>
        </is>
      </c>
      <c r="B1354" s="8" t="n">
        <v>37</v>
      </c>
      <c r="C1354" s="8" t="inlineStr">
        <is>
          <t>6ª Fase</t>
        </is>
      </c>
      <c r="D1354" s="8" t="inlineStr">
        <is>
          <t>A</t>
        </is>
      </c>
      <c r="E1354" s="8" t="inlineStr">
        <is>
          <t>Sim</t>
        </is>
      </c>
      <c r="F1354" s="8" t="n">
        <v>28</v>
      </c>
      <c r="G1354" s="8" t="n">
        <v>16</v>
      </c>
      <c r="H1354" s="9">
        <f>IF(F1354=0,"",G1354/F1354)</f>
        <v/>
      </c>
    </row>
    <row r="1355">
      <c r="A1355" s="10" t="inlineStr">
        <is>
          <t>Simulado 02</t>
        </is>
      </c>
      <c r="B1355" s="11" t="n">
        <v>37</v>
      </c>
      <c r="C1355" s="11" t="inlineStr">
        <is>
          <t>6ª Fase</t>
        </is>
      </c>
      <c r="D1355" s="11" t="inlineStr">
        <is>
          <t>B</t>
        </is>
      </c>
      <c r="E1355" s="11" t="inlineStr">
        <is>
          <t>Não</t>
        </is>
      </c>
      <c r="F1355" s="11" t="n">
        <v>28</v>
      </c>
      <c r="G1355" s="11" t="n">
        <v>0</v>
      </c>
      <c r="H1355" s="12">
        <f>IF(F1355=0,"",G1355/F1355)</f>
        <v/>
      </c>
    </row>
    <row r="1356">
      <c r="A1356" s="7" t="inlineStr">
        <is>
          <t>Simulado 02</t>
        </is>
      </c>
      <c r="B1356" s="8" t="n">
        <v>37</v>
      </c>
      <c r="C1356" s="8" t="inlineStr">
        <is>
          <t>6ª Fase</t>
        </is>
      </c>
      <c r="D1356" s="8" t="inlineStr">
        <is>
          <t>C</t>
        </is>
      </c>
      <c r="E1356" s="8" t="inlineStr">
        <is>
          <t>Não</t>
        </is>
      </c>
      <c r="F1356" s="8" t="n">
        <v>28</v>
      </c>
      <c r="G1356" s="8" t="n">
        <v>7</v>
      </c>
      <c r="H1356" s="9">
        <f>IF(F1356=0,"",G1356/F1356)</f>
        <v/>
      </c>
    </row>
    <row r="1357">
      <c r="A1357" s="10" t="inlineStr">
        <is>
          <t>Simulado 02</t>
        </is>
      </c>
      <c r="B1357" s="11" t="n">
        <v>37</v>
      </c>
      <c r="C1357" s="11" t="inlineStr">
        <is>
          <t>6ª Fase</t>
        </is>
      </c>
      <c r="D1357" s="11" t="inlineStr">
        <is>
          <t>D</t>
        </is>
      </c>
      <c r="E1357" s="11" t="inlineStr">
        <is>
          <t>Não</t>
        </is>
      </c>
      <c r="F1357" s="11" t="n">
        <v>28</v>
      </c>
      <c r="G1357" s="11" t="n">
        <v>5</v>
      </c>
      <c r="H1357" s="12">
        <f>IF(F1357=0,"",G1357/F1357)</f>
        <v/>
      </c>
    </row>
    <row r="1358">
      <c r="A1358" s="7" t="inlineStr">
        <is>
          <t>Simulado 02</t>
        </is>
      </c>
      <c r="B1358" s="8" t="n">
        <v>37</v>
      </c>
      <c r="C1358" s="8" t="inlineStr">
        <is>
          <t>7ª Fase</t>
        </is>
      </c>
      <c r="D1358" s="8" t="inlineStr">
        <is>
          <t>A</t>
        </is>
      </c>
      <c r="E1358" s="8" t="inlineStr">
        <is>
          <t>Sim</t>
        </is>
      </c>
      <c r="F1358" s="8" t="n">
        <v>32</v>
      </c>
      <c r="G1358" s="8" t="n">
        <v>14</v>
      </c>
      <c r="H1358" s="9">
        <f>IF(F1358=0,"",G1358/F1358)</f>
        <v/>
      </c>
    </row>
    <row r="1359">
      <c r="A1359" s="10" t="inlineStr">
        <is>
          <t>Simulado 02</t>
        </is>
      </c>
      <c r="B1359" s="11" t="n">
        <v>37</v>
      </c>
      <c r="C1359" s="11" t="inlineStr">
        <is>
          <t>7ª Fase</t>
        </is>
      </c>
      <c r="D1359" s="11" t="inlineStr">
        <is>
          <t>B</t>
        </is>
      </c>
      <c r="E1359" s="11" t="inlineStr">
        <is>
          <t>Não</t>
        </is>
      </c>
      <c r="F1359" s="11" t="n">
        <v>32</v>
      </c>
      <c r="G1359" s="11" t="n">
        <v>1</v>
      </c>
      <c r="H1359" s="12">
        <f>IF(F1359=0,"",G1359/F1359)</f>
        <v/>
      </c>
    </row>
    <row r="1360">
      <c r="A1360" s="7" t="inlineStr">
        <is>
          <t>Simulado 02</t>
        </is>
      </c>
      <c r="B1360" s="8" t="n">
        <v>37</v>
      </c>
      <c r="C1360" s="8" t="inlineStr">
        <is>
          <t>7ª Fase</t>
        </is>
      </c>
      <c r="D1360" s="8" t="inlineStr">
        <is>
          <t>C</t>
        </is>
      </c>
      <c r="E1360" s="8" t="inlineStr">
        <is>
          <t>Não</t>
        </is>
      </c>
      <c r="F1360" s="8" t="n">
        <v>32</v>
      </c>
      <c r="G1360" s="8" t="n">
        <v>7</v>
      </c>
      <c r="H1360" s="9">
        <f>IF(F1360=0,"",G1360/F1360)</f>
        <v/>
      </c>
    </row>
    <row r="1361">
      <c r="A1361" s="10" t="inlineStr">
        <is>
          <t>Simulado 02</t>
        </is>
      </c>
      <c r="B1361" s="11" t="n">
        <v>37</v>
      </c>
      <c r="C1361" s="11" t="inlineStr">
        <is>
          <t>7ª Fase</t>
        </is>
      </c>
      <c r="D1361" s="11" t="inlineStr">
        <is>
          <t>D</t>
        </is>
      </c>
      <c r="E1361" s="11" t="inlineStr">
        <is>
          <t>Não</t>
        </is>
      </c>
      <c r="F1361" s="11" t="n">
        <v>32</v>
      </c>
      <c r="G1361" s="11" t="n">
        <v>10</v>
      </c>
      <c r="H1361" s="12">
        <f>IF(F1361=0,"",G1361/F1361)</f>
        <v/>
      </c>
    </row>
    <row r="1362">
      <c r="A1362" s="7" t="inlineStr">
        <is>
          <t>Simulado 02</t>
        </is>
      </c>
      <c r="B1362" s="8" t="n">
        <v>37</v>
      </c>
      <c r="C1362" s="8" t="inlineStr">
        <is>
          <t>10ª Fase</t>
        </is>
      </c>
      <c r="D1362" s="8" t="inlineStr">
        <is>
          <t>A</t>
        </is>
      </c>
      <c r="E1362" s="8" t="inlineStr">
        <is>
          <t>Sim</t>
        </is>
      </c>
      <c r="F1362" s="8" t="n">
        <v>31</v>
      </c>
      <c r="G1362" s="8" t="n">
        <v>20</v>
      </c>
      <c r="H1362" s="9">
        <f>IF(F1362=0,"",G1362/F1362)</f>
        <v/>
      </c>
    </row>
    <row r="1363">
      <c r="A1363" s="10" t="inlineStr">
        <is>
          <t>Simulado 02</t>
        </is>
      </c>
      <c r="B1363" s="11" t="n">
        <v>37</v>
      </c>
      <c r="C1363" s="11" t="inlineStr">
        <is>
          <t>10ª Fase</t>
        </is>
      </c>
      <c r="D1363" s="11" t="inlineStr">
        <is>
          <t>B</t>
        </is>
      </c>
      <c r="E1363" s="11" t="inlineStr">
        <is>
          <t>Não</t>
        </is>
      </c>
      <c r="F1363" s="11" t="n">
        <v>31</v>
      </c>
      <c r="G1363" s="11" t="n">
        <v>0</v>
      </c>
      <c r="H1363" s="12">
        <f>IF(F1363=0,"",G1363/F1363)</f>
        <v/>
      </c>
    </row>
    <row r="1364">
      <c r="A1364" s="7" t="inlineStr">
        <is>
          <t>Simulado 02</t>
        </is>
      </c>
      <c r="B1364" s="8" t="n">
        <v>37</v>
      </c>
      <c r="C1364" s="8" t="inlineStr">
        <is>
          <t>10ª Fase</t>
        </is>
      </c>
      <c r="D1364" s="8" t="inlineStr">
        <is>
          <t>C</t>
        </is>
      </c>
      <c r="E1364" s="8" t="inlineStr">
        <is>
          <t>Não</t>
        </is>
      </c>
      <c r="F1364" s="8" t="n">
        <v>31</v>
      </c>
      <c r="G1364" s="8" t="n">
        <v>4</v>
      </c>
      <c r="H1364" s="9">
        <f>IF(F1364=0,"",G1364/F1364)</f>
        <v/>
      </c>
    </row>
    <row r="1365">
      <c r="A1365" s="10" t="inlineStr">
        <is>
          <t>Simulado 02</t>
        </is>
      </c>
      <c r="B1365" s="11" t="n">
        <v>37</v>
      </c>
      <c r="C1365" s="11" t="inlineStr">
        <is>
          <t>10ª Fase</t>
        </is>
      </c>
      <c r="D1365" s="11" t="inlineStr">
        <is>
          <t>D</t>
        </is>
      </c>
      <c r="E1365" s="11" t="inlineStr">
        <is>
          <t>Não</t>
        </is>
      </c>
      <c r="F1365" s="11" t="n">
        <v>31</v>
      </c>
      <c r="G1365" s="11" t="n">
        <v>7</v>
      </c>
      <c r="H1365" s="12">
        <f>IF(F1365=0,"",G1365/F1365)</f>
        <v/>
      </c>
    </row>
    <row r="1366">
      <c r="A1366" s="7" t="inlineStr">
        <is>
          <t>Simulado 02</t>
        </is>
      </c>
      <c r="B1366" s="8" t="n">
        <v>37</v>
      </c>
      <c r="C1366" s="8" t="inlineStr">
        <is>
          <t>11ª Fase</t>
        </is>
      </c>
      <c r="D1366" s="8" t="inlineStr">
        <is>
          <t>A</t>
        </is>
      </c>
      <c r="E1366" s="8" t="inlineStr">
        <is>
          <t>Sim</t>
        </is>
      </c>
      <c r="F1366" s="8" t="n">
        <v>29</v>
      </c>
      <c r="G1366" s="8" t="n">
        <v>19</v>
      </c>
      <c r="H1366" s="9">
        <f>IF(F1366=0,"",G1366/F1366)</f>
        <v/>
      </c>
    </row>
    <row r="1367">
      <c r="A1367" s="10" t="inlineStr">
        <is>
          <t>Simulado 02</t>
        </is>
      </c>
      <c r="B1367" s="11" t="n">
        <v>37</v>
      </c>
      <c r="C1367" s="11" t="inlineStr">
        <is>
          <t>11ª Fase</t>
        </is>
      </c>
      <c r="D1367" s="11" t="inlineStr">
        <is>
          <t>B</t>
        </is>
      </c>
      <c r="E1367" s="11" t="inlineStr">
        <is>
          <t>Não</t>
        </is>
      </c>
      <c r="F1367" s="11" t="n">
        <v>29</v>
      </c>
      <c r="G1367" s="11" t="n">
        <v>0</v>
      </c>
      <c r="H1367" s="12">
        <f>IF(F1367=0,"",G1367/F1367)</f>
        <v/>
      </c>
    </row>
    <row r="1368">
      <c r="A1368" s="7" t="inlineStr">
        <is>
          <t>Simulado 02</t>
        </is>
      </c>
      <c r="B1368" s="8" t="n">
        <v>37</v>
      </c>
      <c r="C1368" s="8" t="inlineStr">
        <is>
          <t>11ª Fase</t>
        </is>
      </c>
      <c r="D1368" s="8" t="inlineStr">
        <is>
          <t>C</t>
        </is>
      </c>
      <c r="E1368" s="8" t="inlineStr">
        <is>
          <t>Não</t>
        </is>
      </c>
      <c r="F1368" s="8" t="n">
        <v>29</v>
      </c>
      <c r="G1368" s="8" t="n">
        <v>5</v>
      </c>
      <c r="H1368" s="9">
        <f>IF(F1368=0,"",G1368/F1368)</f>
        <v/>
      </c>
    </row>
    <row r="1369">
      <c r="A1369" s="10" t="inlineStr">
        <is>
          <t>Simulado 02</t>
        </is>
      </c>
      <c r="B1369" s="11" t="n">
        <v>37</v>
      </c>
      <c r="C1369" s="11" t="inlineStr">
        <is>
          <t>11ª Fase</t>
        </is>
      </c>
      <c r="D1369" s="11" t="inlineStr">
        <is>
          <t>D</t>
        </is>
      </c>
      <c r="E1369" s="11" t="inlineStr">
        <is>
          <t>Não</t>
        </is>
      </c>
      <c r="F1369" s="11" t="n">
        <v>29</v>
      </c>
      <c r="G1369" s="11" t="n">
        <v>5</v>
      </c>
      <c r="H1369" s="12">
        <f>IF(F1369=0,"",G1369/F1369)</f>
        <v/>
      </c>
    </row>
    <row r="1370">
      <c r="A1370" s="7" t="inlineStr">
        <is>
          <t>Simulado 02</t>
        </is>
      </c>
      <c r="B1370" s="8" t="n">
        <v>38</v>
      </c>
      <c r="C1370" s="8" t="inlineStr">
        <is>
          <t>6ª Fase</t>
        </is>
      </c>
      <c r="D1370" s="8" t="inlineStr">
        <is>
          <t>A</t>
        </is>
      </c>
      <c r="E1370" s="8" t="inlineStr">
        <is>
          <t>Sim</t>
        </is>
      </c>
      <c r="F1370" s="8" t="n">
        <v>28</v>
      </c>
      <c r="G1370" s="8" t="n">
        <v>14</v>
      </c>
      <c r="H1370" s="9">
        <f>IF(F1370=0,"",G1370/F1370)</f>
        <v/>
      </c>
    </row>
    <row r="1371">
      <c r="A1371" s="10" t="inlineStr">
        <is>
          <t>Simulado 02</t>
        </is>
      </c>
      <c r="B1371" s="11" t="n">
        <v>38</v>
      </c>
      <c r="C1371" s="11" t="inlineStr">
        <is>
          <t>6ª Fase</t>
        </is>
      </c>
      <c r="D1371" s="11" t="inlineStr">
        <is>
          <t>B</t>
        </is>
      </c>
      <c r="E1371" s="11" t="inlineStr">
        <is>
          <t>Não</t>
        </is>
      </c>
      <c r="F1371" s="11" t="n">
        <v>28</v>
      </c>
      <c r="G1371" s="11" t="n">
        <v>9</v>
      </c>
      <c r="H1371" s="12">
        <f>IF(F1371=0,"",G1371/F1371)</f>
        <v/>
      </c>
    </row>
    <row r="1372">
      <c r="A1372" s="7" t="inlineStr">
        <is>
          <t>Simulado 02</t>
        </is>
      </c>
      <c r="B1372" s="8" t="n">
        <v>38</v>
      </c>
      <c r="C1372" s="8" t="inlineStr">
        <is>
          <t>6ª Fase</t>
        </is>
      </c>
      <c r="D1372" s="8" t="inlineStr">
        <is>
          <t>C</t>
        </is>
      </c>
      <c r="E1372" s="8" t="inlineStr">
        <is>
          <t>Não</t>
        </is>
      </c>
      <c r="F1372" s="8" t="n">
        <v>28</v>
      </c>
      <c r="G1372" s="8" t="n">
        <v>4</v>
      </c>
      <c r="H1372" s="9">
        <f>IF(F1372=0,"",G1372/F1372)</f>
        <v/>
      </c>
    </row>
    <row r="1373">
      <c r="A1373" s="10" t="inlineStr">
        <is>
          <t>Simulado 02</t>
        </is>
      </c>
      <c r="B1373" s="11" t="n">
        <v>38</v>
      </c>
      <c r="C1373" s="11" t="inlineStr">
        <is>
          <t>6ª Fase</t>
        </is>
      </c>
      <c r="D1373" s="11" t="inlineStr">
        <is>
          <t>D</t>
        </is>
      </c>
      <c r="E1373" s="11" t="inlineStr">
        <is>
          <t>Não</t>
        </is>
      </c>
      <c r="F1373" s="11" t="n">
        <v>28</v>
      </c>
      <c r="G1373" s="11" t="n">
        <v>1</v>
      </c>
      <c r="H1373" s="12">
        <f>IF(F1373=0,"",G1373/F1373)</f>
        <v/>
      </c>
    </row>
    <row r="1374">
      <c r="A1374" s="7" t="inlineStr">
        <is>
          <t>Simulado 02</t>
        </is>
      </c>
      <c r="B1374" s="8" t="n">
        <v>38</v>
      </c>
      <c r="C1374" s="8" t="inlineStr">
        <is>
          <t>7ª Fase</t>
        </is>
      </c>
      <c r="D1374" s="8" t="inlineStr">
        <is>
          <t>A</t>
        </is>
      </c>
      <c r="E1374" s="8" t="inlineStr">
        <is>
          <t>Sim</t>
        </is>
      </c>
      <c r="F1374" s="8" t="n">
        <v>32</v>
      </c>
      <c r="G1374" s="8" t="n">
        <v>19</v>
      </c>
      <c r="H1374" s="9">
        <f>IF(F1374=0,"",G1374/F1374)</f>
        <v/>
      </c>
    </row>
    <row r="1375">
      <c r="A1375" s="10" t="inlineStr">
        <is>
          <t>Simulado 02</t>
        </is>
      </c>
      <c r="B1375" s="11" t="n">
        <v>38</v>
      </c>
      <c r="C1375" s="11" t="inlineStr">
        <is>
          <t>7ª Fase</t>
        </is>
      </c>
      <c r="D1375" s="11" t="inlineStr">
        <is>
          <t>B</t>
        </is>
      </c>
      <c r="E1375" s="11" t="inlineStr">
        <is>
          <t>Não</t>
        </is>
      </c>
      <c r="F1375" s="11" t="n">
        <v>32</v>
      </c>
      <c r="G1375" s="11" t="n">
        <v>8</v>
      </c>
      <c r="H1375" s="12">
        <f>IF(F1375=0,"",G1375/F1375)</f>
        <v/>
      </c>
    </row>
    <row r="1376">
      <c r="A1376" s="7" t="inlineStr">
        <is>
          <t>Simulado 02</t>
        </is>
      </c>
      <c r="B1376" s="8" t="n">
        <v>38</v>
      </c>
      <c r="C1376" s="8" t="inlineStr">
        <is>
          <t>7ª Fase</t>
        </is>
      </c>
      <c r="D1376" s="8" t="inlineStr">
        <is>
          <t>C</t>
        </is>
      </c>
      <c r="E1376" s="8" t="inlineStr">
        <is>
          <t>Não</t>
        </is>
      </c>
      <c r="F1376" s="8" t="n">
        <v>32</v>
      </c>
      <c r="G1376" s="8" t="n">
        <v>3</v>
      </c>
      <c r="H1376" s="9">
        <f>IF(F1376=0,"",G1376/F1376)</f>
        <v/>
      </c>
    </row>
    <row r="1377">
      <c r="A1377" s="10" t="inlineStr">
        <is>
          <t>Simulado 02</t>
        </is>
      </c>
      <c r="B1377" s="11" t="n">
        <v>38</v>
      </c>
      <c r="C1377" s="11" t="inlineStr">
        <is>
          <t>7ª Fase</t>
        </is>
      </c>
      <c r="D1377" s="11" t="inlineStr">
        <is>
          <t>D</t>
        </is>
      </c>
      <c r="E1377" s="11" t="inlineStr">
        <is>
          <t>Não</t>
        </is>
      </c>
      <c r="F1377" s="11" t="n">
        <v>32</v>
      </c>
      <c r="G1377" s="11" t="n">
        <v>2</v>
      </c>
      <c r="H1377" s="12">
        <f>IF(F1377=0,"",G1377/F1377)</f>
        <v/>
      </c>
    </row>
    <row r="1378">
      <c r="A1378" s="7" t="inlineStr">
        <is>
          <t>Simulado 02</t>
        </is>
      </c>
      <c r="B1378" s="8" t="n">
        <v>38</v>
      </c>
      <c r="C1378" s="8" t="inlineStr">
        <is>
          <t>10ª Fase</t>
        </is>
      </c>
      <c r="D1378" s="8" t="inlineStr">
        <is>
          <t>A</t>
        </is>
      </c>
      <c r="E1378" s="8" t="inlineStr">
        <is>
          <t>Sim</t>
        </is>
      </c>
      <c r="F1378" s="8" t="n">
        <v>31</v>
      </c>
      <c r="G1378" s="8" t="n">
        <v>16</v>
      </c>
      <c r="H1378" s="9">
        <f>IF(F1378=0,"",G1378/F1378)</f>
        <v/>
      </c>
    </row>
    <row r="1379">
      <c r="A1379" s="10" t="inlineStr">
        <is>
          <t>Simulado 02</t>
        </is>
      </c>
      <c r="B1379" s="11" t="n">
        <v>38</v>
      </c>
      <c r="C1379" s="11" t="inlineStr">
        <is>
          <t>10ª Fase</t>
        </is>
      </c>
      <c r="D1379" s="11" t="inlineStr">
        <is>
          <t>B</t>
        </is>
      </c>
      <c r="E1379" s="11" t="inlineStr">
        <is>
          <t>Não</t>
        </is>
      </c>
      <c r="F1379" s="11" t="n">
        <v>31</v>
      </c>
      <c r="G1379" s="11" t="n">
        <v>9</v>
      </c>
      <c r="H1379" s="12">
        <f>IF(F1379=0,"",G1379/F1379)</f>
        <v/>
      </c>
    </row>
    <row r="1380">
      <c r="A1380" s="7" t="inlineStr">
        <is>
          <t>Simulado 02</t>
        </is>
      </c>
      <c r="B1380" s="8" t="n">
        <v>38</v>
      </c>
      <c r="C1380" s="8" t="inlineStr">
        <is>
          <t>10ª Fase</t>
        </is>
      </c>
      <c r="D1380" s="8" t="inlineStr">
        <is>
          <t>C</t>
        </is>
      </c>
      <c r="E1380" s="8" t="inlineStr">
        <is>
          <t>Não</t>
        </is>
      </c>
      <c r="F1380" s="8" t="n">
        <v>31</v>
      </c>
      <c r="G1380" s="8" t="n">
        <v>3</v>
      </c>
      <c r="H1380" s="9">
        <f>IF(F1380=0,"",G1380/F1380)</f>
        <v/>
      </c>
    </row>
    <row r="1381">
      <c r="A1381" s="10" t="inlineStr">
        <is>
          <t>Simulado 02</t>
        </is>
      </c>
      <c r="B1381" s="11" t="n">
        <v>38</v>
      </c>
      <c r="C1381" s="11" t="inlineStr">
        <is>
          <t>10ª Fase</t>
        </is>
      </c>
      <c r="D1381" s="11" t="inlineStr">
        <is>
          <t>D</t>
        </is>
      </c>
      <c r="E1381" s="11" t="inlineStr">
        <is>
          <t>Não</t>
        </is>
      </c>
      <c r="F1381" s="11" t="n">
        <v>31</v>
      </c>
      <c r="G1381" s="11" t="n">
        <v>3</v>
      </c>
      <c r="H1381" s="12">
        <f>IF(F1381=0,"",G1381/F1381)</f>
        <v/>
      </c>
    </row>
    <row r="1382">
      <c r="A1382" s="7" t="inlineStr">
        <is>
          <t>Simulado 02</t>
        </is>
      </c>
      <c r="B1382" s="8" t="n">
        <v>38</v>
      </c>
      <c r="C1382" s="8" t="inlineStr">
        <is>
          <t>11ª Fase</t>
        </is>
      </c>
      <c r="D1382" s="8" t="inlineStr">
        <is>
          <t>A</t>
        </is>
      </c>
      <c r="E1382" s="8" t="inlineStr">
        <is>
          <t>Sim</t>
        </is>
      </c>
      <c r="F1382" s="8" t="n">
        <v>29</v>
      </c>
      <c r="G1382" s="8" t="n">
        <v>19</v>
      </c>
      <c r="H1382" s="9">
        <f>IF(F1382=0,"",G1382/F1382)</f>
        <v/>
      </c>
    </row>
    <row r="1383">
      <c r="A1383" s="10" t="inlineStr">
        <is>
          <t>Simulado 02</t>
        </is>
      </c>
      <c r="B1383" s="11" t="n">
        <v>38</v>
      </c>
      <c r="C1383" s="11" t="inlineStr">
        <is>
          <t>11ª Fase</t>
        </is>
      </c>
      <c r="D1383" s="11" t="inlineStr">
        <is>
          <t>B</t>
        </is>
      </c>
      <c r="E1383" s="11" t="inlineStr">
        <is>
          <t>Não</t>
        </is>
      </c>
      <c r="F1383" s="11" t="n">
        <v>29</v>
      </c>
      <c r="G1383" s="11" t="n">
        <v>8</v>
      </c>
      <c r="H1383" s="12">
        <f>IF(F1383=0,"",G1383/F1383)</f>
        <v/>
      </c>
    </row>
    <row r="1384">
      <c r="A1384" s="7" t="inlineStr">
        <is>
          <t>Simulado 02</t>
        </is>
      </c>
      <c r="B1384" s="8" t="n">
        <v>38</v>
      </c>
      <c r="C1384" s="8" t="inlineStr">
        <is>
          <t>11ª Fase</t>
        </is>
      </c>
      <c r="D1384" s="8" t="inlineStr">
        <is>
          <t>C</t>
        </is>
      </c>
      <c r="E1384" s="8" t="inlineStr">
        <is>
          <t>Não</t>
        </is>
      </c>
      <c r="F1384" s="8" t="n">
        <v>29</v>
      </c>
      <c r="G1384" s="8" t="n">
        <v>0</v>
      </c>
      <c r="H1384" s="9">
        <f>IF(F1384=0,"",G1384/F1384)</f>
        <v/>
      </c>
    </row>
    <row r="1385">
      <c r="A1385" s="10" t="inlineStr">
        <is>
          <t>Simulado 02</t>
        </is>
      </c>
      <c r="B1385" s="11" t="n">
        <v>38</v>
      </c>
      <c r="C1385" s="11" t="inlineStr">
        <is>
          <t>11ª Fase</t>
        </is>
      </c>
      <c r="D1385" s="11" t="inlineStr">
        <is>
          <t>D</t>
        </is>
      </c>
      <c r="E1385" s="11" t="inlineStr">
        <is>
          <t>Não</t>
        </is>
      </c>
      <c r="F1385" s="11" t="n">
        <v>29</v>
      </c>
      <c r="G1385" s="11" t="n">
        <v>2</v>
      </c>
      <c r="H1385" s="12">
        <f>IF(F1385=0,"",G1385/F1385)</f>
        <v/>
      </c>
    </row>
    <row r="1386">
      <c r="A1386" s="7" t="inlineStr">
        <is>
          <t>Simulado 02</t>
        </is>
      </c>
      <c r="B1386" s="8" t="n">
        <v>39</v>
      </c>
      <c r="C1386" s="8" t="inlineStr">
        <is>
          <t>6ª Fase</t>
        </is>
      </c>
      <c r="D1386" s="8" t="inlineStr">
        <is>
          <t>A</t>
        </is>
      </c>
      <c r="E1386" s="8" t="inlineStr">
        <is>
          <t>Não</t>
        </is>
      </c>
      <c r="F1386" s="8" t="n">
        <v>28</v>
      </c>
      <c r="G1386" s="8" t="n">
        <v>0</v>
      </c>
      <c r="H1386" s="9">
        <f>IF(F1386=0,"",G1386/F1386)</f>
        <v/>
      </c>
    </row>
    <row r="1387">
      <c r="A1387" s="10" t="inlineStr">
        <is>
          <t>Simulado 02</t>
        </is>
      </c>
      <c r="B1387" s="11" t="n">
        <v>39</v>
      </c>
      <c r="C1387" s="11" t="inlineStr">
        <is>
          <t>6ª Fase</t>
        </is>
      </c>
      <c r="D1387" s="11" t="inlineStr">
        <is>
          <t>B</t>
        </is>
      </c>
      <c r="E1387" s="11" t="inlineStr">
        <is>
          <t>Sim</t>
        </is>
      </c>
      <c r="F1387" s="11" t="n">
        <v>28</v>
      </c>
      <c r="G1387" s="11" t="n">
        <v>14</v>
      </c>
      <c r="H1387" s="12">
        <f>IF(F1387=0,"",G1387/F1387)</f>
        <v/>
      </c>
    </row>
    <row r="1388">
      <c r="A1388" s="7" t="inlineStr">
        <is>
          <t>Simulado 02</t>
        </is>
      </c>
      <c r="B1388" s="8" t="n">
        <v>39</v>
      </c>
      <c r="C1388" s="8" t="inlineStr">
        <is>
          <t>6ª Fase</t>
        </is>
      </c>
      <c r="D1388" s="8" t="inlineStr">
        <is>
          <t>C</t>
        </is>
      </c>
      <c r="E1388" s="8" t="inlineStr">
        <is>
          <t>Não</t>
        </is>
      </c>
      <c r="F1388" s="8" t="n">
        <v>28</v>
      </c>
      <c r="G1388" s="8" t="n">
        <v>10</v>
      </c>
      <c r="H1388" s="9">
        <f>IF(F1388=0,"",G1388/F1388)</f>
        <v/>
      </c>
    </row>
    <row r="1389">
      <c r="A1389" s="10" t="inlineStr">
        <is>
          <t>Simulado 02</t>
        </is>
      </c>
      <c r="B1389" s="11" t="n">
        <v>39</v>
      </c>
      <c r="C1389" s="11" t="inlineStr">
        <is>
          <t>6ª Fase</t>
        </is>
      </c>
      <c r="D1389" s="11" t="inlineStr">
        <is>
          <t>D</t>
        </is>
      </c>
      <c r="E1389" s="11" t="inlineStr">
        <is>
          <t>Não</t>
        </is>
      </c>
      <c r="F1389" s="11" t="n">
        <v>28</v>
      </c>
      <c r="G1389" s="11" t="n">
        <v>4</v>
      </c>
      <c r="H1389" s="12">
        <f>IF(F1389=0,"",G1389/F1389)</f>
        <v/>
      </c>
    </row>
    <row r="1390">
      <c r="A1390" s="7" t="inlineStr">
        <is>
          <t>Simulado 02</t>
        </is>
      </c>
      <c r="B1390" s="8" t="n">
        <v>39</v>
      </c>
      <c r="C1390" s="8" t="inlineStr">
        <is>
          <t>7ª Fase</t>
        </is>
      </c>
      <c r="D1390" s="8" t="inlineStr">
        <is>
          <t>A</t>
        </is>
      </c>
      <c r="E1390" s="8" t="inlineStr">
        <is>
          <t>Não</t>
        </is>
      </c>
      <c r="F1390" s="8" t="n">
        <v>32</v>
      </c>
      <c r="G1390" s="8" t="n">
        <v>3</v>
      </c>
      <c r="H1390" s="9">
        <f>IF(F1390=0,"",G1390/F1390)</f>
        <v/>
      </c>
    </row>
    <row r="1391">
      <c r="A1391" s="10" t="inlineStr">
        <is>
          <t>Simulado 02</t>
        </is>
      </c>
      <c r="B1391" s="11" t="n">
        <v>39</v>
      </c>
      <c r="C1391" s="11" t="inlineStr">
        <is>
          <t>7ª Fase</t>
        </is>
      </c>
      <c r="D1391" s="11" t="inlineStr">
        <is>
          <t>B</t>
        </is>
      </c>
      <c r="E1391" s="11" t="inlineStr">
        <is>
          <t>Sim</t>
        </is>
      </c>
      <c r="F1391" s="11" t="n">
        <v>32</v>
      </c>
      <c r="G1391" s="11" t="n">
        <v>17</v>
      </c>
      <c r="H1391" s="12">
        <f>IF(F1391=0,"",G1391/F1391)</f>
        <v/>
      </c>
    </row>
    <row r="1392">
      <c r="A1392" s="7" t="inlineStr">
        <is>
          <t>Simulado 02</t>
        </is>
      </c>
      <c r="B1392" s="8" t="n">
        <v>39</v>
      </c>
      <c r="C1392" s="8" t="inlineStr">
        <is>
          <t>7ª Fase</t>
        </is>
      </c>
      <c r="D1392" s="8" t="inlineStr">
        <is>
          <t>C</t>
        </is>
      </c>
      <c r="E1392" s="8" t="inlineStr">
        <is>
          <t>Não</t>
        </is>
      </c>
      <c r="F1392" s="8" t="n">
        <v>32</v>
      </c>
      <c r="G1392" s="8" t="n">
        <v>10</v>
      </c>
      <c r="H1392" s="9">
        <f>IF(F1392=0,"",G1392/F1392)</f>
        <v/>
      </c>
    </row>
    <row r="1393">
      <c r="A1393" s="10" t="inlineStr">
        <is>
          <t>Simulado 02</t>
        </is>
      </c>
      <c r="B1393" s="11" t="n">
        <v>39</v>
      </c>
      <c r="C1393" s="11" t="inlineStr">
        <is>
          <t>7ª Fase</t>
        </is>
      </c>
      <c r="D1393" s="11" t="inlineStr">
        <is>
          <t>D</t>
        </is>
      </c>
      <c r="E1393" s="11" t="inlineStr">
        <is>
          <t>Não</t>
        </is>
      </c>
      <c r="F1393" s="11" t="n">
        <v>32</v>
      </c>
      <c r="G1393" s="11" t="n">
        <v>2</v>
      </c>
      <c r="H1393" s="12">
        <f>IF(F1393=0,"",G1393/F1393)</f>
        <v/>
      </c>
    </row>
    <row r="1394">
      <c r="A1394" s="7" t="inlineStr">
        <is>
          <t>Simulado 02</t>
        </is>
      </c>
      <c r="B1394" s="8" t="n">
        <v>39</v>
      </c>
      <c r="C1394" s="8" t="inlineStr">
        <is>
          <t>10ª Fase</t>
        </is>
      </c>
      <c r="D1394" s="8" t="inlineStr">
        <is>
          <t>A</t>
        </is>
      </c>
      <c r="E1394" s="8" t="inlineStr">
        <is>
          <t>Não</t>
        </is>
      </c>
      <c r="F1394" s="8" t="n">
        <v>31</v>
      </c>
      <c r="G1394" s="8" t="n">
        <v>3</v>
      </c>
      <c r="H1394" s="9">
        <f>IF(F1394=0,"",G1394/F1394)</f>
        <v/>
      </c>
    </row>
    <row r="1395">
      <c r="A1395" s="10" t="inlineStr">
        <is>
          <t>Simulado 02</t>
        </is>
      </c>
      <c r="B1395" s="11" t="n">
        <v>39</v>
      </c>
      <c r="C1395" s="11" t="inlineStr">
        <is>
          <t>10ª Fase</t>
        </is>
      </c>
      <c r="D1395" s="11" t="inlineStr">
        <is>
          <t>B</t>
        </is>
      </c>
      <c r="E1395" s="11" t="inlineStr">
        <is>
          <t>Sim</t>
        </is>
      </c>
      <c r="F1395" s="11" t="n">
        <v>31</v>
      </c>
      <c r="G1395" s="11" t="n">
        <v>19</v>
      </c>
      <c r="H1395" s="12">
        <f>IF(F1395=0,"",G1395/F1395)</f>
        <v/>
      </c>
    </row>
    <row r="1396">
      <c r="A1396" s="7" t="inlineStr">
        <is>
          <t>Simulado 02</t>
        </is>
      </c>
      <c r="B1396" s="8" t="n">
        <v>39</v>
      </c>
      <c r="C1396" s="8" t="inlineStr">
        <is>
          <t>10ª Fase</t>
        </is>
      </c>
      <c r="D1396" s="8" t="inlineStr">
        <is>
          <t>C</t>
        </is>
      </c>
      <c r="E1396" s="8" t="inlineStr">
        <is>
          <t>Não</t>
        </is>
      </c>
      <c r="F1396" s="8" t="n">
        <v>31</v>
      </c>
      <c r="G1396" s="8" t="n">
        <v>8</v>
      </c>
      <c r="H1396" s="9">
        <f>IF(F1396=0,"",G1396/F1396)</f>
        <v/>
      </c>
    </row>
    <row r="1397">
      <c r="A1397" s="10" t="inlineStr">
        <is>
          <t>Simulado 02</t>
        </is>
      </c>
      <c r="B1397" s="11" t="n">
        <v>39</v>
      </c>
      <c r="C1397" s="11" t="inlineStr">
        <is>
          <t>10ª Fase</t>
        </is>
      </c>
      <c r="D1397" s="11" t="inlineStr">
        <is>
          <t>D</t>
        </is>
      </c>
      <c r="E1397" s="11" t="inlineStr">
        <is>
          <t>Não</t>
        </is>
      </c>
      <c r="F1397" s="11" t="n">
        <v>31</v>
      </c>
      <c r="G1397" s="11" t="n">
        <v>1</v>
      </c>
      <c r="H1397" s="12">
        <f>IF(F1397=0,"",G1397/F1397)</f>
        <v/>
      </c>
    </row>
    <row r="1398">
      <c r="A1398" s="7" t="inlineStr">
        <is>
          <t>Simulado 02</t>
        </is>
      </c>
      <c r="B1398" s="8" t="n">
        <v>39</v>
      </c>
      <c r="C1398" s="8" t="inlineStr">
        <is>
          <t>11ª Fase</t>
        </is>
      </c>
      <c r="D1398" s="8" t="inlineStr">
        <is>
          <t>A</t>
        </is>
      </c>
      <c r="E1398" s="8" t="inlineStr">
        <is>
          <t>Não</t>
        </is>
      </c>
      <c r="F1398" s="8" t="n">
        <v>29</v>
      </c>
      <c r="G1398" s="8" t="n">
        <v>1</v>
      </c>
      <c r="H1398" s="9">
        <f>IF(F1398=0,"",G1398/F1398)</f>
        <v/>
      </c>
    </row>
    <row r="1399">
      <c r="A1399" s="10" t="inlineStr">
        <is>
          <t>Simulado 02</t>
        </is>
      </c>
      <c r="B1399" s="11" t="n">
        <v>39</v>
      </c>
      <c r="C1399" s="11" t="inlineStr">
        <is>
          <t>11ª Fase</t>
        </is>
      </c>
      <c r="D1399" s="11" t="inlineStr">
        <is>
          <t>B</t>
        </is>
      </c>
      <c r="E1399" s="11" t="inlineStr">
        <is>
          <t>Sim</t>
        </is>
      </c>
      <c r="F1399" s="11" t="n">
        <v>29</v>
      </c>
      <c r="G1399" s="11" t="n">
        <v>18</v>
      </c>
      <c r="H1399" s="12">
        <f>IF(F1399=0,"",G1399/F1399)</f>
        <v/>
      </c>
    </row>
    <row r="1400">
      <c r="A1400" s="7" t="inlineStr">
        <is>
          <t>Simulado 02</t>
        </is>
      </c>
      <c r="B1400" s="8" t="n">
        <v>39</v>
      </c>
      <c r="C1400" s="8" t="inlineStr">
        <is>
          <t>11ª Fase</t>
        </is>
      </c>
      <c r="D1400" s="8" t="inlineStr">
        <is>
          <t>C</t>
        </is>
      </c>
      <c r="E1400" s="8" t="inlineStr">
        <is>
          <t>Não</t>
        </is>
      </c>
      <c r="F1400" s="8" t="n">
        <v>29</v>
      </c>
      <c r="G1400" s="8" t="n">
        <v>6</v>
      </c>
      <c r="H1400" s="9">
        <f>IF(F1400=0,"",G1400/F1400)</f>
        <v/>
      </c>
    </row>
    <row r="1401">
      <c r="A1401" s="10" t="inlineStr">
        <is>
          <t>Simulado 02</t>
        </is>
      </c>
      <c r="B1401" s="11" t="n">
        <v>39</v>
      </c>
      <c r="C1401" s="11" t="inlineStr">
        <is>
          <t>11ª Fase</t>
        </is>
      </c>
      <c r="D1401" s="11" t="inlineStr">
        <is>
          <t>D</t>
        </is>
      </c>
      <c r="E1401" s="11" t="inlineStr">
        <is>
          <t>Não</t>
        </is>
      </c>
      <c r="F1401" s="11" t="n">
        <v>29</v>
      </c>
      <c r="G1401" s="11" t="n">
        <v>4</v>
      </c>
      <c r="H1401" s="12">
        <f>IF(F1401=0,"",G1401/F1401)</f>
        <v/>
      </c>
    </row>
    <row r="1402">
      <c r="A1402" s="7" t="inlineStr">
        <is>
          <t>Simulado 02</t>
        </is>
      </c>
      <c r="B1402" s="8" t="n">
        <v>40</v>
      </c>
      <c r="C1402" s="8" t="inlineStr">
        <is>
          <t>6ª Fase</t>
        </is>
      </c>
      <c r="D1402" s="8" t="inlineStr">
        <is>
          <t>A</t>
        </is>
      </c>
      <c r="E1402" s="8" t="inlineStr">
        <is>
          <t>Não</t>
        </is>
      </c>
      <c r="F1402" s="8" t="n">
        <v>28</v>
      </c>
      <c r="G1402" s="8" t="n">
        <v>0</v>
      </c>
      <c r="H1402" s="9">
        <f>IF(F1402=0,"",G1402/F1402)</f>
        <v/>
      </c>
    </row>
    <row r="1403">
      <c r="A1403" s="10" t="inlineStr">
        <is>
          <t>Simulado 02</t>
        </is>
      </c>
      <c r="B1403" s="11" t="n">
        <v>40</v>
      </c>
      <c r="C1403" s="11" t="inlineStr">
        <is>
          <t>6ª Fase</t>
        </is>
      </c>
      <c r="D1403" s="11" t="inlineStr">
        <is>
          <t>B</t>
        </is>
      </c>
      <c r="E1403" s="11" t="inlineStr">
        <is>
          <t>Não</t>
        </is>
      </c>
      <c r="F1403" s="11" t="n">
        <v>28</v>
      </c>
      <c r="G1403" s="11" t="n">
        <v>3</v>
      </c>
      <c r="H1403" s="12">
        <f>IF(F1403=0,"",G1403/F1403)</f>
        <v/>
      </c>
    </row>
    <row r="1404">
      <c r="A1404" s="7" t="inlineStr">
        <is>
          <t>Simulado 02</t>
        </is>
      </c>
      <c r="B1404" s="8" t="n">
        <v>40</v>
      </c>
      <c r="C1404" s="8" t="inlineStr">
        <is>
          <t>6ª Fase</t>
        </is>
      </c>
      <c r="D1404" s="8" t="inlineStr">
        <is>
          <t>C</t>
        </is>
      </c>
      <c r="E1404" s="8" t="inlineStr">
        <is>
          <t>Sim</t>
        </is>
      </c>
      <c r="F1404" s="8" t="n">
        <v>28</v>
      </c>
      <c r="G1404" s="8" t="n">
        <v>25</v>
      </c>
      <c r="H1404" s="9">
        <f>IF(F1404=0,"",G1404/F1404)</f>
        <v/>
      </c>
    </row>
    <row r="1405">
      <c r="A1405" s="10" t="inlineStr">
        <is>
          <t>Simulado 02</t>
        </is>
      </c>
      <c r="B1405" s="11" t="n">
        <v>40</v>
      </c>
      <c r="C1405" s="11" t="inlineStr">
        <is>
          <t>6ª Fase</t>
        </is>
      </c>
      <c r="D1405" s="11" t="inlineStr">
        <is>
          <t>D</t>
        </is>
      </c>
      <c r="E1405" s="11" t="inlineStr">
        <is>
          <t>Não</t>
        </is>
      </c>
      <c r="F1405" s="11" t="n">
        <v>28</v>
      </c>
      <c r="G1405" s="11" t="n">
        <v>0</v>
      </c>
      <c r="H1405" s="12">
        <f>IF(F1405=0,"",G1405/F1405)</f>
        <v/>
      </c>
    </row>
    <row r="1406">
      <c r="A1406" s="7" t="inlineStr">
        <is>
          <t>Simulado 02</t>
        </is>
      </c>
      <c r="B1406" s="8" t="n">
        <v>40</v>
      </c>
      <c r="C1406" s="8" t="inlineStr">
        <is>
          <t>7ª Fase</t>
        </is>
      </c>
      <c r="D1406" s="8" t="inlineStr">
        <is>
          <t>A</t>
        </is>
      </c>
      <c r="E1406" s="8" t="inlineStr">
        <is>
          <t>Não</t>
        </is>
      </c>
      <c r="F1406" s="8" t="n">
        <v>32</v>
      </c>
      <c r="G1406" s="8" t="n">
        <v>0</v>
      </c>
      <c r="H1406" s="9">
        <f>IF(F1406=0,"",G1406/F1406)</f>
        <v/>
      </c>
    </row>
    <row r="1407">
      <c r="A1407" s="10" t="inlineStr">
        <is>
          <t>Simulado 02</t>
        </is>
      </c>
      <c r="B1407" s="11" t="n">
        <v>40</v>
      </c>
      <c r="C1407" s="11" t="inlineStr">
        <is>
          <t>7ª Fase</t>
        </is>
      </c>
      <c r="D1407" s="11" t="inlineStr">
        <is>
          <t>B</t>
        </is>
      </c>
      <c r="E1407" s="11" t="inlineStr">
        <is>
          <t>Não</t>
        </is>
      </c>
      <c r="F1407" s="11" t="n">
        <v>32</v>
      </c>
      <c r="G1407" s="11" t="n">
        <v>5</v>
      </c>
      <c r="H1407" s="12">
        <f>IF(F1407=0,"",G1407/F1407)</f>
        <v/>
      </c>
    </row>
    <row r="1408">
      <c r="A1408" s="7" t="inlineStr">
        <is>
          <t>Simulado 02</t>
        </is>
      </c>
      <c r="B1408" s="8" t="n">
        <v>40</v>
      </c>
      <c r="C1408" s="8" t="inlineStr">
        <is>
          <t>7ª Fase</t>
        </is>
      </c>
      <c r="D1408" s="8" t="inlineStr">
        <is>
          <t>C</t>
        </is>
      </c>
      <c r="E1408" s="8" t="inlineStr">
        <is>
          <t>Sim</t>
        </is>
      </c>
      <c r="F1408" s="8" t="n">
        <v>32</v>
      </c>
      <c r="G1408" s="8" t="n">
        <v>27</v>
      </c>
      <c r="H1408" s="9">
        <f>IF(F1408=0,"",G1408/F1408)</f>
        <v/>
      </c>
    </row>
    <row r="1409">
      <c r="A1409" s="10" t="inlineStr">
        <is>
          <t>Simulado 02</t>
        </is>
      </c>
      <c r="B1409" s="11" t="n">
        <v>40</v>
      </c>
      <c r="C1409" s="11" t="inlineStr">
        <is>
          <t>7ª Fase</t>
        </is>
      </c>
      <c r="D1409" s="11" t="inlineStr">
        <is>
          <t>D</t>
        </is>
      </c>
      <c r="E1409" s="11" t="inlineStr">
        <is>
          <t>Não</t>
        </is>
      </c>
      <c r="F1409" s="11" t="n">
        <v>32</v>
      </c>
      <c r="G1409" s="11" t="n">
        <v>0</v>
      </c>
      <c r="H1409" s="12">
        <f>IF(F1409=0,"",G1409/F1409)</f>
        <v/>
      </c>
    </row>
    <row r="1410">
      <c r="A1410" s="7" t="inlineStr">
        <is>
          <t>Simulado 02</t>
        </is>
      </c>
      <c r="B1410" s="8" t="n">
        <v>40</v>
      </c>
      <c r="C1410" s="8" t="inlineStr">
        <is>
          <t>10ª Fase</t>
        </is>
      </c>
      <c r="D1410" s="8" t="inlineStr">
        <is>
          <t>A</t>
        </is>
      </c>
      <c r="E1410" s="8" t="inlineStr">
        <is>
          <t>Não</t>
        </is>
      </c>
      <c r="F1410" s="8" t="n">
        <v>31</v>
      </c>
      <c r="G1410" s="8" t="n">
        <v>0</v>
      </c>
      <c r="H1410" s="9">
        <f>IF(F1410=0,"",G1410/F1410)</f>
        <v/>
      </c>
    </row>
    <row r="1411">
      <c r="A1411" s="10" t="inlineStr">
        <is>
          <t>Simulado 02</t>
        </is>
      </c>
      <c r="B1411" s="11" t="n">
        <v>40</v>
      </c>
      <c r="C1411" s="11" t="inlineStr">
        <is>
          <t>10ª Fase</t>
        </is>
      </c>
      <c r="D1411" s="11" t="inlineStr">
        <is>
          <t>B</t>
        </is>
      </c>
      <c r="E1411" s="11" t="inlineStr">
        <is>
          <t>Não</t>
        </is>
      </c>
      <c r="F1411" s="11" t="n">
        <v>31</v>
      </c>
      <c r="G1411" s="11" t="n">
        <v>1</v>
      </c>
      <c r="H1411" s="12">
        <f>IF(F1411=0,"",G1411/F1411)</f>
        <v/>
      </c>
    </row>
    <row r="1412">
      <c r="A1412" s="7" t="inlineStr">
        <is>
          <t>Simulado 02</t>
        </is>
      </c>
      <c r="B1412" s="8" t="n">
        <v>40</v>
      </c>
      <c r="C1412" s="8" t="inlineStr">
        <is>
          <t>10ª Fase</t>
        </is>
      </c>
      <c r="D1412" s="8" t="inlineStr">
        <is>
          <t>C</t>
        </is>
      </c>
      <c r="E1412" s="8" t="inlineStr">
        <is>
          <t>Sim</t>
        </is>
      </c>
      <c r="F1412" s="8" t="n">
        <v>31</v>
      </c>
      <c r="G1412" s="8" t="n">
        <v>30</v>
      </c>
      <c r="H1412" s="9">
        <f>IF(F1412=0,"",G1412/F1412)</f>
        <v/>
      </c>
    </row>
    <row r="1413">
      <c r="A1413" s="10" t="inlineStr">
        <is>
          <t>Simulado 02</t>
        </is>
      </c>
      <c r="B1413" s="11" t="n">
        <v>40</v>
      </c>
      <c r="C1413" s="11" t="inlineStr">
        <is>
          <t>10ª Fase</t>
        </is>
      </c>
      <c r="D1413" s="11" t="inlineStr">
        <is>
          <t>D</t>
        </is>
      </c>
      <c r="E1413" s="11" t="inlineStr">
        <is>
          <t>Não</t>
        </is>
      </c>
      <c r="F1413" s="11" t="n">
        <v>31</v>
      </c>
      <c r="G1413" s="11" t="n">
        <v>0</v>
      </c>
      <c r="H1413" s="12">
        <f>IF(F1413=0,"",G1413/F1413)</f>
        <v/>
      </c>
    </row>
    <row r="1414">
      <c r="A1414" s="7" t="inlineStr">
        <is>
          <t>Simulado 02</t>
        </is>
      </c>
      <c r="B1414" s="8" t="n">
        <v>40</v>
      </c>
      <c r="C1414" s="8" t="inlineStr">
        <is>
          <t>11ª Fase</t>
        </is>
      </c>
      <c r="D1414" s="8" t="inlineStr">
        <is>
          <t>A</t>
        </is>
      </c>
      <c r="E1414" s="8" t="inlineStr">
        <is>
          <t>Não</t>
        </is>
      </c>
      <c r="F1414" s="8" t="n">
        <v>29</v>
      </c>
      <c r="G1414" s="8" t="n">
        <v>0</v>
      </c>
      <c r="H1414" s="9">
        <f>IF(F1414=0,"",G1414/F1414)</f>
        <v/>
      </c>
    </row>
    <row r="1415">
      <c r="A1415" s="10" t="inlineStr">
        <is>
          <t>Simulado 02</t>
        </is>
      </c>
      <c r="B1415" s="11" t="n">
        <v>40</v>
      </c>
      <c r="C1415" s="11" t="inlineStr">
        <is>
          <t>11ª Fase</t>
        </is>
      </c>
      <c r="D1415" s="11" t="inlineStr">
        <is>
          <t>B</t>
        </is>
      </c>
      <c r="E1415" s="11" t="inlineStr">
        <is>
          <t>Não</t>
        </is>
      </c>
      <c r="F1415" s="11" t="n">
        <v>29</v>
      </c>
      <c r="G1415" s="11" t="n">
        <v>3</v>
      </c>
      <c r="H1415" s="12">
        <f>IF(F1415=0,"",G1415/F1415)</f>
        <v/>
      </c>
    </row>
    <row r="1416">
      <c r="A1416" s="7" t="inlineStr">
        <is>
          <t>Simulado 02</t>
        </is>
      </c>
      <c r="B1416" s="8" t="n">
        <v>40</v>
      </c>
      <c r="C1416" s="8" t="inlineStr">
        <is>
          <t>11ª Fase</t>
        </is>
      </c>
      <c r="D1416" s="8" t="inlineStr">
        <is>
          <t>C</t>
        </is>
      </c>
      <c r="E1416" s="8" t="inlineStr">
        <is>
          <t>Sim</t>
        </is>
      </c>
      <c r="F1416" s="8" t="n">
        <v>29</v>
      </c>
      <c r="G1416" s="8" t="n">
        <v>25</v>
      </c>
      <c r="H1416" s="9">
        <f>IF(F1416=0,"",G1416/F1416)</f>
        <v/>
      </c>
    </row>
    <row r="1417">
      <c r="A1417" s="10" t="inlineStr">
        <is>
          <t>Simulado 02</t>
        </is>
      </c>
      <c r="B1417" s="11" t="n">
        <v>40</v>
      </c>
      <c r="C1417" s="11" t="inlineStr">
        <is>
          <t>11ª Fase</t>
        </is>
      </c>
      <c r="D1417" s="11" t="inlineStr">
        <is>
          <t>D</t>
        </is>
      </c>
      <c r="E1417" s="11" t="inlineStr">
        <is>
          <t>Não</t>
        </is>
      </c>
      <c r="F1417" s="11" t="n">
        <v>29</v>
      </c>
      <c r="G1417" s="11" t="n">
        <v>1</v>
      </c>
      <c r="H1417" s="12">
        <f>IF(F1417=0,"",G1417/F1417)</f>
        <v/>
      </c>
    </row>
    <row r="1418">
      <c r="A1418" s="7" t="inlineStr">
        <is>
          <t>Simulado 02</t>
        </is>
      </c>
      <c r="B1418" s="8" t="n">
        <v>41</v>
      </c>
      <c r="C1418" s="8" t="inlineStr">
        <is>
          <t>6ª Fase</t>
        </is>
      </c>
      <c r="D1418" s="8" t="inlineStr">
        <is>
          <t>A</t>
        </is>
      </c>
      <c r="E1418" s="8" t="inlineStr">
        <is>
          <t>Não</t>
        </is>
      </c>
      <c r="F1418" s="8" t="n">
        <v>28</v>
      </c>
      <c r="G1418" s="8" t="n">
        <v>1</v>
      </c>
      <c r="H1418" s="9">
        <f>IF(F1418=0,"",G1418/F1418)</f>
        <v/>
      </c>
    </row>
    <row r="1419">
      <c r="A1419" s="10" t="inlineStr">
        <is>
          <t>Simulado 02</t>
        </is>
      </c>
      <c r="B1419" s="11" t="n">
        <v>41</v>
      </c>
      <c r="C1419" s="11" t="inlineStr">
        <is>
          <t>6ª Fase</t>
        </is>
      </c>
      <c r="D1419" s="11" t="inlineStr">
        <is>
          <t>B</t>
        </is>
      </c>
      <c r="E1419" s="11" t="inlineStr">
        <is>
          <t>Não</t>
        </is>
      </c>
      <c r="F1419" s="11" t="n">
        <v>28</v>
      </c>
      <c r="G1419" s="11" t="n">
        <v>0</v>
      </c>
      <c r="H1419" s="12">
        <f>IF(F1419=0,"",G1419/F1419)</f>
        <v/>
      </c>
    </row>
    <row r="1420">
      <c r="A1420" s="7" t="inlineStr">
        <is>
          <t>Simulado 02</t>
        </is>
      </c>
      <c r="B1420" s="8" t="n">
        <v>41</v>
      </c>
      <c r="C1420" s="8" t="inlineStr">
        <is>
          <t>6ª Fase</t>
        </is>
      </c>
      <c r="D1420" s="8" t="inlineStr">
        <is>
          <t>C</t>
        </is>
      </c>
      <c r="E1420" s="8" t="inlineStr">
        <is>
          <t>Sim</t>
        </is>
      </c>
      <c r="F1420" s="8" t="n">
        <v>28</v>
      </c>
      <c r="G1420" s="8" t="n">
        <v>25</v>
      </c>
      <c r="H1420" s="9">
        <f>IF(F1420=0,"",G1420/F1420)</f>
        <v/>
      </c>
    </row>
    <row r="1421">
      <c r="A1421" s="10" t="inlineStr">
        <is>
          <t>Simulado 02</t>
        </is>
      </c>
      <c r="B1421" s="11" t="n">
        <v>41</v>
      </c>
      <c r="C1421" s="11" t="inlineStr">
        <is>
          <t>6ª Fase</t>
        </is>
      </c>
      <c r="D1421" s="11" t="inlineStr">
        <is>
          <t>D</t>
        </is>
      </c>
      <c r="E1421" s="11" t="inlineStr">
        <is>
          <t>Não</t>
        </is>
      </c>
      <c r="F1421" s="11" t="n">
        <v>28</v>
      </c>
      <c r="G1421" s="11" t="n">
        <v>2</v>
      </c>
      <c r="H1421" s="12">
        <f>IF(F1421=0,"",G1421/F1421)</f>
        <v/>
      </c>
    </row>
    <row r="1422">
      <c r="A1422" s="7" t="inlineStr">
        <is>
          <t>Simulado 02</t>
        </is>
      </c>
      <c r="B1422" s="8" t="n">
        <v>41</v>
      </c>
      <c r="C1422" s="8" t="inlineStr">
        <is>
          <t>7ª Fase</t>
        </is>
      </c>
      <c r="D1422" s="8" t="inlineStr">
        <is>
          <t>A</t>
        </is>
      </c>
      <c r="E1422" s="8" t="inlineStr">
        <is>
          <t>Não</t>
        </is>
      </c>
      <c r="F1422" s="8" t="n">
        <v>32</v>
      </c>
      <c r="G1422" s="8" t="n">
        <v>0</v>
      </c>
      <c r="H1422" s="9">
        <f>IF(F1422=0,"",G1422/F1422)</f>
        <v/>
      </c>
    </row>
    <row r="1423">
      <c r="A1423" s="10" t="inlineStr">
        <is>
          <t>Simulado 02</t>
        </is>
      </c>
      <c r="B1423" s="11" t="n">
        <v>41</v>
      </c>
      <c r="C1423" s="11" t="inlineStr">
        <is>
          <t>7ª Fase</t>
        </is>
      </c>
      <c r="D1423" s="11" t="inlineStr">
        <is>
          <t>B</t>
        </is>
      </c>
      <c r="E1423" s="11" t="inlineStr">
        <is>
          <t>Não</t>
        </is>
      </c>
      <c r="F1423" s="11" t="n">
        <v>32</v>
      </c>
      <c r="G1423" s="11" t="n">
        <v>0</v>
      </c>
      <c r="H1423" s="12">
        <f>IF(F1423=0,"",G1423/F1423)</f>
        <v/>
      </c>
    </row>
    <row r="1424">
      <c r="A1424" s="7" t="inlineStr">
        <is>
          <t>Simulado 02</t>
        </is>
      </c>
      <c r="B1424" s="8" t="n">
        <v>41</v>
      </c>
      <c r="C1424" s="8" t="inlineStr">
        <is>
          <t>7ª Fase</t>
        </is>
      </c>
      <c r="D1424" s="8" t="inlineStr">
        <is>
          <t>C</t>
        </is>
      </c>
      <c r="E1424" s="8" t="inlineStr">
        <is>
          <t>Sim</t>
        </is>
      </c>
      <c r="F1424" s="8" t="n">
        <v>32</v>
      </c>
      <c r="G1424" s="8" t="n">
        <v>28</v>
      </c>
      <c r="H1424" s="9">
        <f>IF(F1424=0,"",G1424/F1424)</f>
        <v/>
      </c>
    </row>
    <row r="1425">
      <c r="A1425" s="10" t="inlineStr">
        <is>
          <t>Simulado 02</t>
        </is>
      </c>
      <c r="B1425" s="11" t="n">
        <v>41</v>
      </c>
      <c r="C1425" s="11" t="inlineStr">
        <is>
          <t>7ª Fase</t>
        </is>
      </c>
      <c r="D1425" s="11" t="inlineStr">
        <is>
          <t>D</t>
        </is>
      </c>
      <c r="E1425" s="11" t="inlineStr">
        <is>
          <t>Não</t>
        </is>
      </c>
      <c r="F1425" s="11" t="n">
        <v>32</v>
      </c>
      <c r="G1425" s="11" t="n">
        <v>4</v>
      </c>
      <c r="H1425" s="12">
        <f>IF(F1425=0,"",G1425/F1425)</f>
        <v/>
      </c>
    </row>
    <row r="1426">
      <c r="A1426" s="7" t="inlineStr">
        <is>
          <t>Simulado 02</t>
        </is>
      </c>
      <c r="B1426" s="8" t="n">
        <v>41</v>
      </c>
      <c r="C1426" s="8" t="inlineStr">
        <is>
          <t>10ª Fase</t>
        </is>
      </c>
      <c r="D1426" s="8" t="inlineStr">
        <is>
          <t>A</t>
        </is>
      </c>
      <c r="E1426" s="8" t="inlineStr">
        <is>
          <t>Não</t>
        </is>
      </c>
      <c r="F1426" s="8" t="n">
        <v>31</v>
      </c>
      <c r="G1426" s="8" t="n">
        <v>0</v>
      </c>
      <c r="H1426" s="9">
        <f>IF(F1426=0,"",G1426/F1426)</f>
        <v/>
      </c>
    </row>
    <row r="1427">
      <c r="A1427" s="10" t="inlineStr">
        <is>
          <t>Simulado 02</t>
        </is>
      </c>
      <c r="B1427" s="11" t="n">
        <v>41</v>
      </c>
      <c r="C1427" s="11" t="inlineStr">
        <is>
          <t>10ª Fase</t>
        </is>
      </c>
      <c r="D1427" s="11" t="inlineStr">
        <is>
          <t>B</t>
        </is>
      </c>
      <c r="E1427" s="11" t="inlineStr">
        <is>
          <t>Não</t>
        </is>
      </c>
      <c r="F1427" s="11" t="n">
        <v>31</v>
      </c>
      <c r="G1427" s="11" t="n">
        <v>0</v>
      </c>
      <c r="H1427" s="12">
        <f>IF(F1427=0,"",G1427/F1427)</f>
        <v/>
      </c>
    </row>
    <row r="1428">
      <c r="A1428" s="7" t="inlineStr">
        <is>
          <t>Simulado 02</t>
        </is>
      </c>
      <c r="B1428" s="8" t="n">
        <v>41</v>
      </c>
      <c r="C1428" s="8" t="inlineStr">
        <is>
          <t>10ª Fase</t>
        </is>
      </c>
      <c r="D1428" s="8" t="inlineStr">
        <is>
          <t>C</t>
        </is>
      </c>
      <c r="E1428" s="8" t="inlineStr">
        <is>
          <t>Sim</t>
        </is>
      </c>
      <c r="F1428" s="8" t="n">
        <v>31</v>
      </c>
      <c r="G1428" s="8" t="n">
        <v>28</v>
      </c>
      <c r="H1428" s="9">
        <f>IF(F1428=0,"",G1428/F1428)</f>
        <v/>
      </c>
    </row>
    <row r="1429">
      <c r="A1429" s="10" t="inlineStr">
        <is>
          <t>Simulado 02</t>
        </is>
      </c>
      <c r="B1429" s="11" t="n">
        <v>41</v>
      </c>
      <c r="C1429" s="11" t="inlineStr">
        <is>
          <t>10ª Fase</t>
        </is>
      </c>
      <c r="D1429" s="11" t="inlineStr">
        <is>
          <t>D</t>
        </is>
      </c>
      <c r="E1429" s="11" t="inlineStr">
        <is>
          <t>Não</t>
        </is>
      </c>
      <c r="F1429" s="11" t="n">
        <v>31</v>
      </c>
      <c r="G1429" s="11" t="n">
        <v>3</v>
      </c>
      <c r="H1429" s="12">
        <f>IF(F1429=0,"",G1429/F1429)</f>
        <v/>
      </c>
    </row>
    <row r="1430">
      <c r="A1430" s="7" t="inlineStr">
        <is>
          <t>Simulado 02</t>
        </is>
      </c>
      <c r="B1430" s="8" t="n">
        <v>41</v>
      </c>
      <c r="C1430" s="8" t="inlineStr">
        <is>
          <t>11ª Fase</t>
        </is>
      </c>
      <c r="D1430" s="8" t="inlineStr">
        <is>
          <t>A</t>
        </is>
      </c>
      <c r="E1430" s="8" t="inlineStr">
        <is>
          <t>Não</t>
        </is>
      </c>
      <c r="F1430" s="8" t="n">
        <v>29</v>
      </c>
      <c r="G1430" s="8" t="n">
        <v>0</v>
      </c>
      <c r="H1430" s="9">
        <f>IF(F1430=0,"",G1430/F1430)</f>
        <v/>
      </c>
    </row>
    <row r="1431">
      <c r="A1431" s="10" t="inlineStr">
        <is>
          <t>Simulado 02</t>
        </is>
      </c>
      <c r="B1431" s="11" t="n">
        <v>41</v>
      </c>
      <c r="C1431" s="11" t="inlineStr">
        <is>
          <t>11ª Fase</t>
        </is>
      </c>
      <c r="D1431" s="11" t="inlineStr">
        <is>
          <t>B</t>
        </is>
      </c>
      <c r="E1431" s="11" t="inlineStr">
        <is>
          <t>Não</t>
        </is>
      </c>
      <c r="F1431" s="11" t="n">
        <v>29</v>
      </c>
      <c r="G1431" s="11" t="n">
        <v>0</v>
      </c>
      <c r="H1431" s="12">
        <f>IF(F1431=0,"",G1431/F1431)</f>
        <v/>
      </c>
    </row>
    <row r="1432">
      <c r="A1432" s="7" t="inlineStr">
        <is>
          <t>Simulado 02</t>
        </is>
      </c>
      <c r="B1432" s="8" t="n">
        <v>41</v>
      </c>
      <c r="C1432" s="8" t="inlineStr">
        <is>
          <t>11ª Fase</t>
        </is>
      </c>
      <c r="D1432" s="8" t="inlineStr">
        <is>
          <t>C</t>
        </is>
      </c>
      <c r="E1432" s="8" t="inlineStr">
        <is>
          <t>Sim</t>
        </is>
      </c>
      <c r="F1432" s="8" t="n">
        <v>29</v>
      </c>
      <c r="G1432" s="8" t="n">
        <v>29</v>
      </c>
      <c r="H1432" s="9">
        <f>IF(F1432=0,"",G1432/F1432)</f>
        <v/>
      </c>
    </row>
    <row r="1433">
      <c r="A1433" s="10" t="inlineStr">
        <is>
          <t>Simulado 02</t>
        </is>
      </c>
      <c r="B1433" s="11" t="n">
        <v>41</v>
      </c>
      <c r="C1433" s="11" t="inlineStr">
        <is>
          <t>11ª Fase</t>
        </is>
      </c>
      <c r="D1433" s="11" t="inlineStr">
        <is>
          <t>D</t>
        </is>
      </c>
      <c r="E1433" s="11" t="inlineStr">
        <is>
          <t>Não</t>
        </is>
      </c>
      <c r="F1433" s="11" t="n">
        <v>29</v>
      </c>
      <c r="G1433" s="11" t="n">
        <v>0</v>
      </c>
      <c r="H1433" s="12">
        <f>IF(F1433=0,"",G1433/F1433)</f>
        <v/>
      </c>
    </row>
    <row r="1434">
      <c r="A1434" s="7" t="inlineStr">
        <is>
          <t>Simulado 02</t>
        </is>
      </c>
      <c r="B1434" s="8" t="n">
        <v>42</v>
      </c>
      <c r="C1434" s="8" t="inlineStr">
        <is>
          <t>6ª Fase</t>
        </is>
      </c>
      <c r="D1434" s="8" t="inlineStr">
        <is>
          <t>A</t>
        </is>
      </c>
      <c r="E1434" s="8" t="inlineStr">
        <is>
          <t>Não</t>
        </is>
      </c>
      <c r="F1434" s="8" t="n">
        <v>28</v>
      </c>
      <c r="G1434" s="8" t="n">
        <v>6</v>
      </c>
      <c r="H1434" s="9">
        <f>IF(F1434=0,"",G1434/F1434)</f>
        <v/>
      </c>
    </row>
    <row r="1435">
      <c r="A1435" s="10" t="inlineStr">
        <is>
          <t>Simulado 02</t>
        </is>
      </c>
      <c r="B1435" s="11" t="n">
        <v>42</v>
      </c>
      <c r="C1435" s="11" t="inlineStr">
        <is>
          <t>6ª Fase</t>
        </is>
      </c>
      <c r="D1435" s="11" t="inlineStr">
        <is>
          <t>B</t>
        </is>
      </c>
      <c r="E1435" s="11" t="inlineStr">
        <is>
          <t>Não</t>
        </is>
      </c>
      <c r="F1435" s="11" t="n">
        <v>28</v>
      </c>
      <c r="G1435" s="11" t="n">
        <v>3</v>
      </c>
      <c r="H1435" s="12">
        <f>IF(F1435=0,"",G1435/F1435)</f>
        <v/>
      </c>
    </row>
    <row r="1436">
      <c r="A1436" s="7" t="inlineStr">
        <is>
          <t>Simulado 02</t>
        </is>
      </c>
      <c r="B1436" s="8" t="n">
        <v>42</v>
      </c>
      <c r="C1436" s="8" t="inlineStr">
        <is>
          <t>6ª Fase</t>
        </is>
      </c>
      <c r="D1436" s="8" t="inlineStr">
        <is>
          <t>C</t>
        </is>
      </c>
      <c r="E1436" s="8" t="inlineStr">
        <is>
          <t>Não</t>
        </is>
      </c>
      <c r="F1436" s="8" t="n">
        <v>28</v>
      </c>
      <c r="G1436" s="8" t="n">
        <v>2</v>
      </c>
      <c r="H1436" s="9">
        <f>IF(F1436=0,"",G1436/F1436)</f>
        <v/>
      </c>
    </row>
    <row r="1437">
      <c r="A1437" s="10" t="inlineStr">
        <is>
          <t>Simulado 02</t>
        </is>
      </c>
      <c r="B1437" s="11" t="n">
        <v>42</v>
      </c>
      <c r="C1437" s="11" t="inlineStr">
        <is>
          <t>6ª Fase</t>
        </is>
      </c>
      <c r="D1437" s="11" t="inlineStr">
        <is>
          <t>D</t>
        </is>
      </c>
      <c r="E1437" s="11" t="inlineStr">
        <is>
          <t>Sim</t>
        </is>
      </c>
      <c r="F1437" s="11" t="n">
        <v>28</v>
      </c>
      <c r="G1437" s="11" t="n">
        <v>17</v>
      </c>
      <c r="H1437" s="12">
        <f>IF(F1437=0,"",G1437/F1437)</f>
        <v/>
      </c>
    </row>
    <row r="1438">
      <c r="A1438" s="7" t="inlineStr">
        <is>
          <t>Simulado 02</t>
        </is>
      </c>
      <c r="B1438" s="8" t="n">
        <v>42</v>
      </c>
      <c r="C1438" s="8" t="inlineStr">
        <is>
          <t>7ª Fase</t>
        </is>
      </c>
      <c r="D1438" s="8" t="inlineStr">
        <is>
          <t>A</t>
        </is>
      </c>
      <c r="E1438" s="8" t="inlineStr">
        <is>
          <t>Não</t>
        </is>
      </c>
      <c r="F1438" s="8" t="n">
        <v>32</v>
      </c>
      <c r="G1438" s="8" t="n">
        <v>1</v>
      </c>
      <c r="H1438" s="9">
        <f>IF(F1438=0,"",G1438/F1438)</f>
        <v/>
      </c>
    </row>
    <row r="1439">
      <c r="A1439" s="10" t="inlineStr">
        <is>
          <t>Simulado 02</t>
        </is>
      </c>
      <c r="B1439" s="11" t="n">
        <v>42</v>
      </c>
      <c r="C1439" s="11" t="inlineStr">
        <is>
          <t>7ª Fase</t>
        </is>
      </c>
      <c r="D1439" s="11" t="inlineStr">
        <is>
          <t>B</t>
        </is>
      </c>
      <c r="E1439" s="11" t="inlineStr">
        <is>
          <t>Não</t>
        </is>
      </c>
      <c r="F1439" s="11" t="n">
        <v>32</v>
      </c>
      <c r="G1439" s="11" t="n">
        <v>5</v>
      </c>
      <c r="H1439" s="12">
        <f>IF(F1439=0,"",G1439/F1439)</f>
        <v/>
      </c>
    </row>
    <row r="1440">
      <c r="A1440" s="7" t="inlineStr">
        <is>
          <t>Simulado 02</t>
        </is>
      </c>
      <c r="B1440" s="8" t="n">
        <v>42</v>
      </c>
      <c r="C1440" s="8" t="inlineStr">
        <is>
          <t>7ª Fase</t>
        </is>
      </c>
      <c r="D1440" s="8" t="inlineStr">
        <is>
          <t>C</t>
        </is>
      </c>
      <c r="E1440" s="8" t="inlineStr">
        <is>
          <t>Não</t>
        </is>
      </c>
      <c r="F1440" s="8" t="n">
        <v>32</v>
      </c>
      <c r="G1440" s="8" t="n">
        <v>3</v>
      </c>
      <c r="H1440" s="9">
        <f>IF(F1440=0,"",G1440/F1440)</f>
        <v/>
      </c>
    </row>
    <row r="1441">
      <c r="A1441" s="10" t="inlineStr">
        <is>
          <t>Simulado 02</t>
        </is>
      </c>
      <c r="B1441" s="11" t="n">
        <v>42</v>
      </c>
      <c r="C1441" s="11" t="inlineStr">
        <is>
          <t>7ª Fase</t>
        </is>
      </c>
      <c r="D1441" s="11" t="inlineStr">
        <is>
          <t>D</t>
        </is>
      </c>
      <c r="E1441" s="11" t="inlineStr">
        <is>
          <t>Sim</t>
        </is>
      </c>
      <c r="F1441" s="11" t="n">
        <v>32</v>
      </c>
      <c r="G1441" s="11" t="n">
        <v>23</v>
      </c>
      <c r="H1441" s="12">
        <f>IF(F1441=0,"",G1441/F1441)</f>
        <v/>
      </c>
    </row>
    <row r="1442">
      <c r="A1442" s="7" t="inlineStr">
        <is>
          <t>Simulado 02</t>
        </is>
      </c>
      <c r="B1442" s="8" t="n">
        <v>42</v>
      </c>
      <c r="C1442" s="8" t="inlineStr">
        <is>
          <t>10ª Fase</t>
        </is>
      </c>
      <c r="D1442" s="8" t="inlineStr">
        <is>
          <t>A</t>
        </is>
      </c>
      <c r="E1442" s="8" t="inlineStr">
        <is>
          <t>Não</t>
        </is>
      </c>
      <c r="F1442" s="8" t="n">
        <v>31</v>
      </c>
      <c r="G1442" s="8" t="n">
        <v>2</v>
      </c>
      <c r="H1442" s="9">
        <f>IF(F1442=0,"",G1442/F1442)</f>
        <v/>
      </c>
    </row>
    <row r="1443">
      <c r="A1443" s="10" t="inlineStr">
        <is>
          <t>Simulado 02</t>
        </is>
      </c>
      <c r="B1443" s="11" t="n">
        <v>42</v>
      </c>
      <c r="C1443" s="11" t="inlineStr">
        <is>
          <t>10ª Fase</t>
        </is>
      </c>
      <c r="D1443" s="11" t="inlineStr">
        <is>
          <t>B</t>
        </is>
      </c>
      <c r="E1443" s="11" t="inlineStr">
        <is>
          <t>Não</t>
        </is>
      </c>
      <c r="F1443" s="11" t="n">
        <v>31</v>
      </c>
      <c r="G1443" s="11" t="n">
        <v>0</v>
      </c>
      <c r="H1443" s="12">
        <f>IF(F1443=0,"",G1443/F1443)</f>
        <v/>
      </c>
    </row>
    <row r="1444">
      <c r="A1444" s="7" t="inlineStr">
        <is>
          <t>Simulado 02</t>
        </is>
      </c>
      <c r="B1444" s="8" t="n">
        <v>42</v>
      </c>
      <c r="C1444" s="8" t="inlineStr">
        <is>
          <t>10ª Fase</t>
        </is>
      </c>
      <c r="D1444" s="8" t="inlineStr">
        <is>
          <t>C</t>
        </is>
      </c>
      <c r="E1444" s="8" t="inlineStr">
        <is>
          <t>Não</t>
        </is>
      </c>
      <c r="F1444" s="8" t="n">
        <v>31</v>
      </c>
      <c r="G1444" s="8" t="n">
        <v>0</v>
      </c>
      <c r="H1444" s="9">
        <f>IF(F1444=0,"",G1444/F1444)</f>
        <v/>
      </c>
    </row>
    <row r="1445">
      <c r="A1445" s="10" t="inlineStr">
        <is>
          <t>Simulado 02</t>
        </is>
      </c>
      <c r="B1445" s="11" t="n">
        <v>42</v>
      </c>
      <c r="C1445" s="11" t="inlineStr">
        <is>
          <t>10ª Fase</t>
        </is>
      </c>
      <c r="D1445" s="11" t="inlineStr">
        <is>
          <t>D</t>
        </is>
      </c>
      <c r="E1445" s="11" t="inlineStr">
        <is>
          <t>Sim</t>
        </is>
      </c>
      <c r="F1445" s="11" t="n">
        <v>31</v>
      </c>
      <c r="G1445" s="11" t="n">
        <v>29</v>
      </c>
      <c r="H1445" s="12">
        <f>IF(F1445=0,"",G1445/F1445)</f>
        <v/>
      </c>
    </row>
    <row r="1446">
      <c r="A1446" s="7" t="inlineStr">
        <is>
          <t>Simulado 02</t>
        </is>
      </c>
      <c r="B1446" s="8" t="n">
        <v>42</v>
      </c>
      <c r="C1446" s="8" t="inlineStr">
        <is>
          <t>11ª Fase</t>
        </is>
      </c>
      <c r="D1446" s="8" t="inlineStr">
        <is>
          <t>A</t>
        </is>
      </c>
      <c r="E1446" s="8" t="inlineStr">
        <is>
          <t>Não</t>
        </is>
      </c>
      <c r="F1446" s="8" t="n">
        <v>29</v>
      </c>
      <c r="G1446" s="8" t="n">
        <v>2</v>
      </c>
      <c r="H1446" s="9">
        <f>IF(F1446=0,"",G1446/F1446)</f>
        <v/>
      </c>
    </row>
    <row r="1447">
      <c r="A1447" s="10" t="inlineStr">
        <is>
          <t>Simulado 02</t>
        </is>
      </c>
      <c r="B1447" s="11" t="n">
        <v>42</v>
      </c>
      <c r="C1447" s="11" t="inlineStr">
        <is>
          <t>11ª Fase</t>
        </is>
      </c>
      <c r="D1447" s="11" t="inlineStr">
        <is>
          <t>B</t>
        </is>
      </c>
      <c r="E1447" s="11" t="inlineStr">
        <is>
          <t>Não</t>
        </is>
      </c>
      <c r="F1447" s="11" t="n">
        <v>29</v>
      </c>
      <c r="G1447" s="11" t="n">
        <v>8</v>
      </c>
      <c r="H1447" s="12">
        <f>IF(F1447=0,"",G1447/F1447)</f>
        <v/>
      </c>
    </row>
    <row r="1448">
      <c r="A1448" s="7" t="inlineStr">
        <is>
          <t>Simulado 02</t>
        </is>
      </c>
      <c r="B1448" s="8" t="n">
        <v>42</v>
      </c>
      <c r="C1448" s="8" t="inlineStr">
        <is>
          <t>11ª Fase</t>
        </is>
      </c>
      <c r="D1448" s="8" t="inlineStr">
        <is>
          <t>C</t>
        </is>
      </c>
      <c r="E1448" s="8" t="inlineStr">
        <is>
          <t>Não</t>
        </is>
      </c>
      <c r="F1448" s="8" t="n">
        <v>29</v>
      </c>
      <c r="G1448" s="8" t="n">
        <v>0</v>
      </c>
      <c r="H1448" s="9">
        <f>IF(F1448=0,"",G1448/F1448)</f>
        <v/>
      </c>
    </row>
    <row r="1449">
      <c r="A1449" s="10" t="inlineStr">
        <is>
          <t>Simulado 02</t>
        </is>
      </c>
      <c r="B1449" s="11" t="n">
        <v>42</v>
      </c>
      <c r="C1449" s="11" t="inlineStr">
        <is>
          <t>11ª Fase</t>
        </is>
      </c>
      <c r="D1449" s="11" t="inlineStr">
        <is>
          <t>D</t>
        </is>
      </c>
      <c r="E1449" s="11" t="inlineStr">
        <is>
          <t>Sim</t>
        </is>
      </c>
      <c r="F1449" s="11" t="n">
        <v>29</v>
      </c>
      <c r="G1449" s="11" t="n">
        <v>19</v>
      </c>
      <c r="H1449" s="12">
        <f>IF(F1449=0,"",G1449/F1449)</f>
        <v/>
      </c>
    </row>
    <row r="1450">
      <c r="A1450" s="7" t="inlineStr">
        <is>
          <t>Simulado 02</t>
        </is>
      </c>
      <c r="B1450" s="8" t="n">
        <v>43</v>
      </c>
      <c r="C1450" s="8" t="inlineStr">
        <is>
          <t>6ª Fase</t>
        </is>
      </c>
      <c r="D1450" s="8" t="inlineStr">
        <is>
          <t>A</t>
        </is>
      </c>
      <c r="E1450" s="8" t="inlineStr">
        <is>
          <t>Não</t>
        </is>
      </c>
      <c r="F1450" s="8" t="n">
        <v>28</v>
      </c>
      <c r="G1450" s="8" t="n">
        <v>0</v>
      </c>
      <c r="H1450" s="9">
        <f>IF(F1450=0,"",G1450/F1450)</f>
        <v/>
      </c>
    </row>
    <row r="1451">
      <c r="A1451" s="10" t="inlineStr">
        <is>
          <t>Simulado 02</t>
        </is>
      </c>
      <c r="B1451" s="11" t="n">
        <v>43</v>
      </c>
      <c r="C1451" s="11" t="inlineStr">
        <is>
          <t>6ª Fase</t>
        </is>
      </c>
      <c r="D1451" s="11" t="inlineStr">
        <is>
          <t>B</t>
        </is>
      </c>
      <c r="E1451" s="11" t="inlineStr">
        <is>
          <t>Não</t>
        </is>
      </c>
      <c r="F1451" s="11" t="n">
        <v>28</v>
      </c>
      <c r="G1451" s="11" t="n">
        <v>0</v>
      </c>
      <c r="H1451" s="12">
        <f>IF(F1451=0,"",G1451/F1451)</f>
        <v/>
      </c>
    </row>
    <row r="1452">
      <c r="A1452" s="7" t="inlineStr">
        <is>
          <t>Simulado 02</t>
        </is>
      </c>
      <c r="B1452" s="8" t="n">
        <v>43</v>
      </c>
      <c r="C1452" s="8" t="inlineStr">
        <is>
          <t>6ª Fase</t>
        </is>
      </c>
      <c r="D1452" s="8" t="inlineStr">
        <is>
          <t>C</t>
        </is>
      </c>
      <c r="E1452" s="8" t="inlineStr">
        <is>
          <t>Sim</t>
        </is>
      </c>
      <c r="F1452" s="8" t="n">
        <v>28</v>
      </c>
      <c r="G1452" s="8" t="n">
        <v>28</v>
      </c>
      <c r="H1452" s="9">
        <f>IF(F1452=0,"",G1452/F1452)</f>
        <v/>
      </c>
    </row>
    <row r="1453">
      <c r="A1453" s="10" t="inlineStr">
        <is>
          <t>Simulado 02</t>
        </is>
      </c>
      <c r="B1453" s="11" t="n">
        <v>43</v>
      </c>
      <c r="C1453" s="11" t="inlineStr">
        <is>
          <t>6ª Fase</t>
        </is>
      </c>
      <c r="D1453" s="11" t="inlineStr">
        <is>
          <t>D</t>
        </is>
      </c>
      <c r="E1453" s="11" t="inlineStr">
        <is>
          <t>Não</t>
        </is>
      </c>
      <c r="F1453" s="11" t="n">
        <v>28</v>
      </c>
      <c r="G1453" s="11" t="n">
        <v>0</v>
      </c>
      <c r="H1453" s="12">
        <f>IF(F1453=0,"",G1453/F1453)</f>
        <v/>
      </c>
    </row>
    <row r="1454">
      <c r="A1454" s="7" t="inlineStr">
        <is>
          <t>Simulado 02</t>
        </is>
      </c>
      <c r="B1454" s="8" t="n">
        <v>43</v>
      </c>
      <c r="C1454" s="8" t="inlineStr">
        <is>
          <t>7ª Fase</t>
        </is>
      </c>
      <c r="D1454" s="8" t="inlineStr">
        <is>
          <t>A</t>
        </is>
      </c>
      <c r="E1454" s="8" t="inlineStr">
        <is>
          <t>Não</t>
        </is>
      </c>
      <c r="F1454" s="8" t="n">
        <v>32</v>
      </c>
      <c r="G1454" s="8" t="n">
        <v>0</v>
      </c>
      <c r="H1454" s="9">
        <f>IF(F1454=0,"",G1454/F1454)</f>
        <v/>
      </c>
    </row>
    <row r="1455">
      <c r="A1455" s="10" t="inlineStr">
        <is>
          <t>Simulado 02</t>
        </is>
      </c>
      <c r="B1455" s="11" t="n">
        <v>43</v>
      </c>
      <c r="C1455" s="11" t="inlineStr">
        <is>
          <t>7ª Fase</t>
        </is>
      </c>
      <c r="D1455" s="11" t="inlineStr">
        <is>
          <t>B</t>
        </is>
      </c>
      <c r="E1455" s="11" t="inlineStr">
        <is>
          <t>Não</t>
        </is>
      </c>
      <c r="F1455" s="11" t="n">
        <v>32</v>
      </c>
      <c r="G1455" s="11" t="n">
        <v>2</v>
      </c>
      <c r="H1455" s="12">
        <f>IF(F1455=0,"",G1455/F1455)</f>
        <v/>
      </c>
    </row>
    <row r="1456">
      <c r="A1456" s="7" t="inlineStr">
        <is>
          <t>Simulado 02</t>
        </is>
      </c>
      <c r="B1456" s="8" t="n">
        <v>43</v>
      </c>
      <c r="C1456" s="8" t="inlineStr">
        <is>
          <t>7ª Fase</t>
        </is>
      </c>
      <c r="D1456" s="8" t="inlineStr">
        <is>
          <t>C</t>
        </is>
      </c>
      <c r="E1456" s="8" t="inlineStr">
        <is>
          <t>Sim</t>
        </is>
      </c>
      <c r="F1456" s="8" t="n">
        <v>32</v>
      </c>
      <c r="G1456" s="8" t="n">
        <v>30</v>
      </c>
      <c r="H1456" s="9">
        <f>IF(F1456=0,"",G1456/F1456)</f>
        <v/>
      </c>
    </row>
    <row r="1457">
      <c r="A1457" s="10" t="inlineStr">
        <is>
          <t>Simulado 02</t>
        </is>
      </c>
      <c r="B1457" s="11" t="n">
        <v>43</v>
      </c>
      <c r="C1457" s="11" t="inlineStr">
        <is>
          <t>7ª Fase</t>
        </is>
      </c>
      <c r="D1457" s="11" t="inlineStr">
        <is>
          <t>D</t>
        </is>
      </c>
      <c r="E1457" s="11" t="inlineStr">
        <is>
          <t>Não</t>
        </is>
      </c>
      <c r="F1457" s="11" t="n">
        <v>32</v>
      </c>
      <c r="G1457" s="11" t="n">
        <v>0</v>
      </c>
      <c r="H1457" s="12">
        <f>IF(F1457=0,"",G1457/F1457)</f>
        <v/>
      </c>
    </row>
    <row r="1458">
      <c r="A1458" s="7" t="inlineStr">
        <is>
          <t>Simulado 02</t>
        </is>
      </c>
      <c r="B1458" s="8" t="n">
        <v>43</v>
      </c>
      <c r="C1458" s="8" t="inlineStr">
        <is>
          <t>10ª Fase</t>
        </is>
      </c>
      <c r="D1458" s="8" t="inlineStr">
        <is>
          <t>A</t>
        </is>
      </c>
      <c r="E1458" s="8" t="inlineStr">
        <is>
          <t>Não</t>
        </is>
      </c>
      <c r="F1458" s="8" t="n">
        <v>31</v>
      </c>
      <c r="G1458" s="8" t="n">
        <v>1</v>
      </c>
      <c r="H1458" s="9">
        <f>IF(F1458=0,"",G1458/F1458)</f>
        <v/>
      </c>
    </row>
    <row r="1459">
      <c r="A1459" s="10" t="inlineStr">
        <is>
          <t>Simulado 02</t>
        </is>
      </c>
      <c r="B1459" s="11" t="n">
        <v>43</v>
      </c>
      <c r="C1459" s="11" t="inlineStr">
        <is>
          <t>10ª Fase</t>
        </is>
      </c>
      <c r="D1459" s="11" t="inlineStr">
        <is>
          <t>B</t>
        </is>
      </c>
      <c r="E1459" s="11" t="inlineStr">
        <is>
          <t>Não</t>
        </is>
      </c>
      <c r="F1459" s="11" t="n">
        <v>31</v>
      </c>
      <c r="G1459" s="11" t="n">
        <v>0</v>
      </c>
      <c r="H1459" s="12">
        <f>IF(F1459=0,"",G1459/F1459)</f>
        <v/>
      </c>
    </row>
    <row r="1460">
      <c r="A1460" s="7" t="inlineStr">
        <is>
          <t>Simulado 02</t>
        </is>
      </c>
      <c r="B1460" s="8" t="n">
        <v>43</v>
      </c>
      <c r="C1460" s="8" t="inlineStr">
        <is>
          <t>10ª Fase</t>
        </is>
      </c>
      <c r="D1460" s="8" t="inlineStr">
        <is>
          <t>C</t>
        </is>
      </c>
      <c r="E1460" s="8" t="inlineStr">
        <is>
          <t>Sim</t>
        </is>
      </c>
      <c r="F1460" s="8" t="n">
        <v>31</v>
      </c>
      <c r="G1460" s="8" t="n">
        <v>30</v>
      </c>
      <c r="H1460" s="9">
        <f>IF(F1460=0,"",G1460/F1460)</f>
        <v/>
      </c>
    </row>
    <row r="1461">
      <c r="A1461" s="10" t="inlineStr">
        <is>
          <t>Simulado 02</t>
        </is>
      </c>
      <c r="B1461" s="11" t="n">
        <v>43</v>
      </c>
      <c r="C1461" s="11" t="inlineStr">
        <is>
          <t>10ª Fase</t>
        </is>
      </c>
      <c r="D1461" s="11" t="inlineStr">
        <is>
          <t>D</t>
        </is>
      </c>
      <c r="E1461" s="11" t="inlineStr">
        <is>
          <t>Não</t>
        </is>
      </c>
      <c r="F1461" s="11" t="n">
        <v>31</v>
      </c>
      <c r="G1461" s="11" t="n">
        <v>0</v>
      </c>
      <c r="H1461" s="12">
        <f>IF(F1461=0,"",G1461/F1461)</f>
        <v/>
      </c>
    </row>
    <row r="1462">
      <c r="A1462" s="7" t="inlineStr">
        <is>
          <t>Simulado 02</t>
        </is>
      </c>
      <c r="B1462" s="8" t="n">
        <v>43</v>
      </c>
      <c r="C1462" s="8" t="inlineStr">
        <is>
          <t>11ª Fase</t>
        </is>
      </c>
      <c r="D1462" s="8" t="inlineStr">
        <is>
          <t>A</t>
        </is>
      </c>
      <c r="E1462" s="8" t="inlineStr">
        <is>
          <t>Não</t>
        </is>
      </c>
      <c r="F1462" s="8" t="n">
        <v>29</v>
      </c>
      <c r="G1462" s="8" t="n">
        <v>1</v>
      </c>
      <c r="H1462" s="9">
        <f>IF(F1462=0,"",G1462/F1462)</f>
        <v/>
      </c>
    </row>
    <row r="1463">
      <c r="A1463" s="10" t="inlineStr">
        <is>
          <t>Simulado 02</t>
        </is>
      </c>
      <c r="B1463" s="11" t="n">
        <v>43</v>
      </c>
      <c r="C1463" s="11" t="inlineStr">
        <is>
          <t>11ª Fase</t>
        </is>
      </c>
      <c r="D1463" s="11" t="inlineStr">
        <is>
          <t>B</t>
        </is>
      </c>
      <c r="E1463" s="11" t="inlineStr">
        <is>
          <t>Não</t>
        </is>
      </c>
      <c r="F1463" s="11" t="n">
        <v>29</v>
      </c>
      <c r="G1463" s="11" t="n">
        <v>1</v>
      </c>
      <c r="H1463" s="12">
        <f>IF(F1463=0,"",G1463/F1463)</f>
        <v/>
      </c>
    </row>
    <row r="1464">
      <c r="A1464" s="7" t="inlineStr">
        <is>
          <t>Simulado 02</t>
        </is>
      </c>
      <c r="B1464" s="8" t="n">
        <v>43</v>
      </c>
      <c r="C1464" s="8" t="inlineStr">
        <is>
          <t>11ª Fase</t>
        </is>
      </c>
      <c r="D1464" s="8" t="inlineStr">
        <is>
          <t>C</t>
        </is>
      </c>
      <c r="E1464" s="8" t="inlineStr">
        <is>
          <t>Sim</t>
        </is>
      </c>
      <c r="F1464" s="8" t="n">
        <v>29</v>
      </c>
      <c r="G1464" s="8" t="n">
        <v>25</v>
      </c>
      <c r="H1464" s="9">
        <f>IF(F1464=0,"",G1464/F1464)</f>
        <v/>
      </c>
    </row>
    <row r="1465">
      <c r="A1465" s="10" t="inlineStr">
        <is>
          <t>Simulado 02</t>
        </is>
      </c>
      <c r="B1465" s="11" t="n">
        <v>43</v>
      </c>
      <c r="C1465" s="11" t="inlineStr">
        <is>
          <t>11ª Fase</t>
        </is>
      </c>
      <c r="D1465" s="11" t="inlineStr">
        <is>
          <t>D</t>
        </is>
      </c>
      <c r="E1465" s="11" t="inlineStr">
        <is>
          <t>Não</t>
        </is>
      </c>
      <c r="F1465" s="11" t="n">
        <v>29</v>
      </c>
      <c r="G1465" s="11" t="n">
        <v>2</v>
      </c>
      <c r="H1465" s="12">
        <f>IF(F1465=0,"",G1465/F1465)</f>
        <v/>
      </c>
    </row>
    <row r="1466">
      <c r="A1466" s="7" t="inlineStr">
        <is>
          <t>Simulado 02</t>
        </is>
      </c>
      <c r="B1466" s="8" t="n">
        <v>44</v>
      </c>
      <c r="C1466" s="8" t="inlineStr">
        <is>
          <t>6ª Fase</t>
        </is>
      </c>
      <c r="D1466" s="8" t="inlineStr">
        <is>
          <t>A</t>
        </is>
      </c>
      <c r="E1466" s="8" t="inlineStr">
        <is>
          <t>Não</t>
        </is>
      </c>
      <c r="F1466" s="8" t="n">
        <v>28</v>
      </c>
      <c r="G1466" s="8" t="n">
        <v>0</v>
      </c>
      <c r="H1466" s="9">
        <f>IF(F1466=0,"",G1466/F1466)</f>
        <v/>
      </c>
    </row>
    <row r="1467">
      <c r="A1467" s="10" t="inlineStr">
        <is>
          <t>Simulado 02</t>
        </is>
      </c>
      <c r="B1467" s="11" t="n">
        <v>44</v>
      </c>
      <c r="C1467" s="11" t="inlineStr">
        <is>
          <t>6ª Fase</t>
        </is>
      </c>
      <c r="D1467" s="11" t="inlineStr">
        <is>
          <t>B</t>
        </is>
      </c>
      <c r="E1467" s="11" t="inlineStr">
        <is>
          <t>Sim</t>
        </is>
      </c>
      <c r="F1467" s="11" t="n">
        <v>28</v>
      </c>
      <c r="G1467" s="11" t="n">
        <v>20</v>
      </c>
      <c r="H1467" s="12">
        <f>IF(F1467=0,"",G1467/F1467)</f>
        <v/>
      </c>
    </row>
    <row r="1468">
      <c r="A1468" s="7" t="inlineStr">
        <is>
          <t>Simulado 02</t>
        </is>
      </c>
      <c r="B1468" s="8" t="n">
        <v>44</v>
      </c>
      <c r="C1468" s="8" t="inlineStr">
        <is>
          <t>6ª Fase</t>
        </is>
      </c>
      <c r="D1468" s="8" t="inlineStr">
        <is>
          <t>C</t>
        </is>
      </c>
      <c r="E1468" s="8" t="inlineStr">
        <is>
          <t>Não</t>
        </is>
      </c>
      <c r="F1468" s="8" t="n">
        <v>28</v>
      </c>
      <c r="G1468" s="8" t="n">
        <v>2</v>
      </c>
      <c r="H1468" s="9">
        <f>IF(F1468=0,"",G1468/F1468)</f>
        <v/>
      </c>
    </row>
    <row r="1469">
      <c r="A1469" s="10" t="inlineStr">
        <is>
          <t>Simulado 02</t>
        </is>
      </c>
      <c r="B1469" s="11" t="n">
        <v>44</v>
      </c>
      <c r="C1469" s="11" t="inlineStr">
        <is>
          <t>6ª Fase</t>
        </is>
      </c>
      <c r="D1469" s="11" t="inlineStr">
        <is>
          <t>D</t>
        </is>
      </c>
      <c r="E1469" s="11" t="inlineStr">
        <is>
          <t>Não</t>
        </is>
      </c>
      <c r="F1469" s="11" t="n">
        <v>28</v>
      </c>
      <c r="G1469" s="11" t="n">
        <v>6</v>
      </c>
      <c r="H1469" s="12">
        <f>IF(F1469=0,"",G1469/F1469)</f>
        <v/>
      </c>
    </row>
    <row r="1470">
      <c r="A1470" s="7" t="inlineStr">
        <is>
          <t>Simulado 02</t>
        </is>
      </c>
      <c r="B1470" s="8" t="n">
        <v>44</v>
      </c>
      <c r="C1470" s="8" t="inlineStr">
        <is>
          <t>7ª Fase</t>
        </is>
      </c>
      <c r="D1470" s="8" t="inlineStr">
        <is>
          <t>A</t>
        </is>
      </c>
      <c r="E1470" s="8" t="inlineStr">
        <is>
          <t>Não</t>
        </is>
      </c>
      <c r="F1470" s="8" t="n">
        <v>32</v>
      </c>
      <c r="G1470" s="8" t="n">
        <v>0</v>
      </c>
      <c r="H1470" s="9">
        <f>IF(F1470=0,"",G1470/F1470)</f>
        <v/>
      </c>
    </row>
    <row r="1471">
      <c r="A1471" s="10" t="inlineStr">
        <is>
          <t>Simulado 02</t>
        </is>
      </c>
      <c r="B1471" s="11" t="n">
        <v>44</v>
      </c>
      <c r="C1471" s="11" t="inlineStr">
        <is>
          <t>7ª Fase</t>
        </is>
      </c>
      <c r="D1471" s="11" t="inlineStr">
        <is>
          <t>B</t>
        </is>
      </c>
      <c r="E1471" s="11" t="inlineStr">
        <is>
          <t>Sim</t>
        </is>
      </c>
      <c r="F1471" s="11" t="n">
        <v>32</v>
      </c>
      <c r="G1471" s="11" t="n">
        <v>26</v>
      </c>
      <c r="H1471" s="12">
        <f>IF(F1471=0,"",G1471/F1471)</f>
        <v/>
      </c>
    </row>
    <row r="1472">
      <c r="A1472" s="7" t="inlineStr">
        <is>
          <t>Simulado 02</t>
        </is>
      </c>
      <c r="B1472" s="8" t="n">
        <v>44</v>
      </c>
      <c r="C1472" s="8" t="inlineStr">
        <is>
          <t>7ª Fase</t>
        </is>
      </c>
      <c r="D1472" s="8" t="inlineStr">
        <is>
          <t>C</t>
        </is>
      </c>
      <c r="E1472" s="8" t="inlineStr">
        <is>
          <t>Não</t>
        </is>
      </c>
      <c r="F1472" s="8" t="n">
        <v>32</v>
      </c>
      <c r="G1472" s="8" t="n">
        <v>1</v>
      </c>
      <c r="H1472" s="9">
        <f>IF(F1472=0,"",G1472/F1472)</f>
        <v/>
      </c>
    </row>
    <row r="1473">
      <c r="A1473" s="10" t="inlineStr">
        <is>
          <t>Simulado 02</t>
        </is>
      </c>
      <c r="B1473" s="11" t="n">
        <v>44</v>
      </c>
      <c r="C1473" s="11" t="inlineStr">
        <is>
          <t>7ª Fase</t>
        </is>
      </c>
      <c r="D1473" s="11" t="inlineStr">
        <is>
          <t>D</t>
        </is>
      </c>
      <c r="E1473" s="11" t="inlineStr">
        <is>
          <t>Não</t>
        </is>
      </c>
      <c r="F1473" s="11" t="n">
        <v>32</v>
      </c>
      <c r="G1473" s="11" t="n">
        <v>5</v>
      </c>
      <c r="H1473" s="12">
        <f>IF(F1473=0,"",G1473/F1473)</f>
        <v/>
      </c>
    </row>
    <row r="1474">
      <c r="A1474" s="7" t="inlineStr">
        <is>
          <t>Simulado 02</t>
        </is>
      </c>
      <c r="B1474" s="8" t="n">
        <v>44</v>
      </c>
      <c r="C1474" s="8" t="inlineStr">
        <is>
          <t>10ª Fase</t>
        </is>
      </c>
      <c r="D1474" s="8" t="inlineStr">
        <is>
          <t>A</t>
        </is>
      </c>
      <c r="E1474" s="8" t="inlineStr">
        <is>
          <t>Não</t>
        </is>
      </c>
      <c r="F1474" s="8" t="n">
        <v>31</v>
      </c>
      <c r="G1474" s="8" t="n">
        <v>0</v>
      </c>
      <c r="H1474" s="9">
        <f>IF(F1474=0,"",G1474/F1474)</f>
        <v/>
      </c>
    </row>
    <row r="1475">
      <c r="A1475" s="10" t="inlineStr">
        <is>
          <t>Simulado 02</t>
        </is>
      </c>
      <c r="B1475" s="11" t="n">
        <v>44</v>
      </c>
      <c r="C1475" s="11" t="inlineStr">
        <is>
          <t>10ª Fase</t>
        </is>
      </c>
      <c r="D1475" s="11" t="inlineStr">
        <is>
          <t>B</t>
        </is>
      </c>
      <c r="E1475" s="11" t="inlineStr">
        <is>
          <t>Sim</t>
        </is>
      </c>
      <c r="F1475" s="11" t="n">
        <v>31</v>
      </c>
      <c r="G1475" s="11" t="n">
        <v>27</v>
      </c>
      <c r="H1475" s="12">
        <f>IF(F1475=0,"",G1475/F1475)</f>
        <v/>
      </c>
    </row>
    <row r="1476">
      <c r="A1476" s="7" t="inlineStr">
        <is>
          <t>Simulado 02</t>
        </is>
      </c>
      <c r="B1476" s="8" t="n">
        <v>44</v>
      </c>
      <c r="C1476" s="8" t="inlineStr">
        <is>
          <t>10ª Fase</t>
        </is>
      </c>
      <c r="D1476" s="8" t="inlineStr">
        <is>
          <t>C</t>
        </is>
      </c>
      <c r="E1476" s="8" t="inlineStr">
        <is>
          <t>Não</t>
        </is>
      </c>
      <c r="F1476" s="8" t="n">
        <v>31</v>
      </c>
      <c r="G1476" s="8" t="n">
        <v>0</v>
      </c>
      <c r="H1476" s="9">
        <f>IF(F1476=0,"",G1476/F1476)</f>
        <v/>
      </c>
    </row>
    <row r="1477">
      <c r="A1477" s="10" t="inlineStr">
        <is>
          <t>Simulado 02</t>
        </is>
      </c>
      <c r="B1477" s="11" t="n">
        <v>44</v>
      </c>
      <c r="C1477" s="11" t="inlineStr">
        <is>
          <t>10ª Fase</t>
        </is>
      </c>
      <c r="D1477" s="11" t="inlineStr">
        <is>
          <t>D</t>
        </is>
      </c>
      <c r="E1477" s="11" t="inlineStr">
        <is>
          <t>Não</t>
        </is>
      </c>
      <c r="F1477" s="11" t="n">
        <v>31</v>
      </c>
      <c r="G1477" s="11" t="n">
        <v>4</v>
      </c>
      <c r="H1477" s="12">
        <f>IF(F1477=0,"",G1477/F1477)</f>
        <v/>
      </c>
    </row>
    <row r="1478">
      <c r="A1478" s="7" t="inlineStr">
        <is>
          <t>Simulado 02</t>
        </is>
      </c>
      <c r="B1478" s="8" t="n">
        <v>44</v>
      </c>
      <c r="C1478" s="8" t="inlineStr">
        <is>
          <t>11ª Fase</t>
        </is>
      </c>
      <c r="D1478" s="8" t="inlineStr">
        <is>
          <t>A</t>
        </is>
      </c>
      <c r="E1478" s="8" t="inlineStr">
        <is>
          <t>Não</t>
        </is>
      </c>
      <c r="F1478" s="8" t="n">
        <v>29</v>
      </c>
      <c r="G1478" s="8" t="n">
        <v>0</v>
      </c>
      <c r="H1478" s="9">
        <f>IF(F1478=0,"",G1478/F1478)</f>
        <v/>
      </c>
    </row>
    <row r="1479">
      <c r="A1479" s="10" t="inlineStr">
        <is>
          <t>Simulado 02</t>
        </is>
      </c>
      <c r="B1479" s="11" t="n">
        <v>44</v>
      </c>
      <c r="C1479" s="11" t="inlineStr">
        <is>
          <t>11ª Fase</t>
        </is>
      </c>
      <c r="D1479" s="11" t="inlineStr">
        <is>
          <t>B</t>
        </is>
      </c>
      <c r="E1479" s="11" t="inlineStr">
        <is>
          <t>Sim</t>
        </is>
      </c>
      <c r="F1479" s="11" t="n">
        <v>29</v>
      </c>
      <c r="G1479" s="11" t="n">
        <v>26</v>
      </c>
      <c r="H1479" s="12">
        <f>IF(F1479=0,"",G1479/F1479)</f>
        <v/>
      </c>
    </row>
    <row r="1480">
      <c r="A1480" s="7" t="inlineStr">
        <is>
          <t>Simulado 02</t>
        </is>
      </c>
      <c r="B1480" s="8" t="n">
        <v>44</v>
      </c>
      <c r="C1480" s="8" t="inlineStr">
        <is>
          <t>11ª Fase</t>
        </is>
      </c>
      <c r="D1480" s="8" t="inlineStr">
        <is>
          <t>C</t>
        </is>
      </c>
      <c r="E1480" s="8" t="inlineStr">
        <is>
          <t>Não</t>
        </is>
      </c>
      <c r="F1480" s="8" t="n">
        <v>29</v>
      </c>
      <c r="G1480" s="8" t="n">
        <v>0</v>
      </c>
      <c r="H1480" s="9">
        <f>IF(F1480=0,"",G1480/F1480)</f>
        <v/>
      </c>
    </row>
    <row r="1481">
      <c r="A1481" s="10" t="inlineStr">
        <is>
          <t>Simulado 02</t>
        </is>
      </c>
      <c r="B1481" s="11" t="n">
        <v>44</v>
      </c>
      <c r="C1481" s="11" t="inlineStr">
        <is>
          <t>11ª Fase</t>
        </is>
      </c>
      <c r="D1481" s="11" t="inlineStr">
        <is>
          <t>D</t>
        </is>
      </c>
      <c r="E1481" s="11" t="inlineStr">
        <is>
          <t>Não</t>
        </is>
      </c>
      <c r="F1481" s="11" t="n">
        <v>29</v>
      </c>
      <c r="G1481" s="11" t="n">
        <v>3</v>
      </c>
      <c r="H1481" s="12">
        <f>IF(F1481=0,"",G1481/F1481)</f>
        <v/>
      </c>
    </row>
    <row r="1482">
      <c r="A1482" s="7" t="inlineStr">
        <is>
          <t>Simulado 02</t>
        </is>
      </c>
      <c r="B1482" s="8" t="n">
        <v>45</v>
      </c>
      <c r="C1482" s="8" t="inlineStr">
        <is>
          <t>6ª Fase</t>
        </is>
      </c>
      <c r="D1482" s="8" t="inlineStr">
        <is>
          <t>A</t>
        </is>
      </c>
      <c r="E1482" s="8" t="inlineStr">
        <is>
          <t>Sim</t>
        </is>
      </c>
      <c r="F1482" s="8" t="n">
        <v>28</v>
      </c>
      <c r="G1482" s="8" t="n">
        <v>20</v>
      </c>
      <c r="H1482" s="9">
        <f>IF(F1482=0,"",G1482/F1482)</f>
        <v/>
      </c>
    </row>
    <row r="1483">
      <c r="A1483" s="10" t="inlineStr">
        <is>
          <t>Simulado 02</t>
        </is>
      </c>
      <c r="B1483" s="11" t="n">
        <v>45</v>
      </c>
      <c r="C1483" s="11" t="inlineStr">
        <is>
          <t>6ª Fase</t>
        </is>
      </c>
      <c r="D1483" s="11" t="inlineStr">
        <is>
          <t>B</t>
        </is>
      </c>
      <c r="E1483" s="11" t="inlineStr">
        <is>
          <t>Não</t>
        </is>
      </c>
      <c r="F1483" s="11" t="n">
        <v>28</v>
      </c>
      <c r="G1483" s="11" t="n">
        <v>3</v>
      </c>
      <c r="H1483" s="12">
        <f>IF(F1483=0,"",G1483/F1483)</f>
        <v/>
      </c>
    </row>
    <row r="1484">
      <c r="A1484" s="7" t="inlineStr">
        <is>
          <t>Simulado 02</t>
        </is>
      </c>
      <c r="B1484" s="8" t="n">
        <v>45</v>
      </c>
      <c r="C1484" s="8" t="inlineStr">
        <is>
          <t>6ª Fase</t>
        </is>
      </c>
      <c r="D1484" s="8" t="inlineStr">
        <is>
          <t>C</t>
        </is>
      </c>
      <c r="E1484" s="8" t="inlineStr">
        <is>
          <t>Não</t>
        </is>
      </c>
      <c r="F1484" s="8" t="n">
        <v>28</v>
      </c>
      <c r="G1484" s="8" t="n">
        <v>5</v>
      </c>
      <c r="H1484" s="9">
        <f>IF(F1484=0,"",G1484/F1484)</f>
        <v/>
      </c>
    </row>
    <row r="1485">
      <c r="A1485" s="10" t="inlineStr">
        <is>
          <t>Simulado 02</t>
        </is>
      </c>
      <c r="B1485" s="11" t="n">
        <v>45</v>
      </c>
      <c r="C1485" s="11" t="inlineStr">
        <is>
          <t>6ª Fase</t>
        </is>
      </c>
      <c r="D1485" s="11" t="inlineStr">
        <is>
          <t>D</t>
        </is>
      </c>
      <c r="E1485" s="11" t="inlineStr">
        <is>
          <t>Não</t>
        </is>
      </c>
      <c r="F1485" s="11" t="n">
        <v>28</v>
      </c>
      <c r="G1485" s="11" t="n">
        <v>0</v>
      </c>
      <c r="H1485" s="12">
        <f>IF(F1485=0,"",G1485/F1485)</f>
        <v/>
      </c>
    </row>
    <row r="1486">
      <c r="A1486" s="7" t="inlineStr">
        <is>
          <t>Simulado 02</t>
        </is>
      </c>
      <c r="B1486" s="8" t="n">
        <v>45</v>
      </c>
      <c r="C1486" s="8" t="inlineStr">
        <is>
          <t>7ª Fase</t>
        </is>
      </c>
      <c r="D1486" s="8" t="inlineStr">
        <is>
          <t>A</t>
        </is>
      </c>
      <c r="E1486" s="8" t="inlineStr">
        <is>
          <t>Sim</t>
        </is>
      </c>
      <c r="F1486" s="8" t="n">
        <v>32</v>
      </c>
      <c r="G1486" s="8" t="n">
        <v>17</v>
      </c>
      <c r="H1486" s="9">
        <f>IF(F1486=0,"",G1486/F1486)</f>
        <v/>
      </c>
    </row>
    <row r="1487">
      <c r="A1487" s="10" t="inlineStr">
        <is>
          <t>Simulado 02</t>
        </is>
      </c>
      <c r="B1487" s="11" t="n">
        <v>45</v>
      </c>
      <c r="C1487" s="11" t="inlineStr">
        <is>
          <t>7ª Fase</t>
        </is>
      </c>
      <c r="D1487" s="11" t="inlineStr">
        <is>
          <t>B</t>
        </is>
      </c>
      <c r="E1487" s="11" t="inlineStr">
        <is>
          <t>Não</t>
        </is>
      </c>
      <c r="F1487" s="11" t="n">
        <v>32</v>
      </c>
      <c r="G1487" s="11" t="n">
        <v>7</v>
      </c>
      <c r="H1487" s="12">
        <f>IF(F1487=0,"",G1487/F1487)</f>
        <v/>
      </c>
    </row>
    <row r="1488">
      <c r="A1488" s="7" t="inlineStr">
        <is>
          <t>Simulado 02</t>
        </is>
      </c>
      <c r="B1488" s="8" t="n">
        <v>45</v>
      </c>
      <c r="C1488" s="8" t="inlineStr">
        <is>
          <t>7ª Fase</t>
        </is>
      </c>
      <c r="D1488" s="8" t="inlineStr">
        <is>
          <t>C</t>
        </is>
      </c>
      <c r="E1488" s="8" t="inlineStr">
        <is>
          <t>Não</t>
        </is>
      </c>
      <c r="F1488" s="8" t="n">
        <v>32</v>
      </c>
      <c r="G1488" s="8" t="n">
        <v>8</v>
      </c>
      <c r="H1488" s="9">
        <f>IF(F1488=0,"",G1488/F1488)</f>
        <v/>
      </c>
    </row>
    <row r="1489">
      <c r="A1489" s="10" t="inlineStr">
        <is>
          <t>Simulado 02</t>
        </is>
      </c>
      <c r="B1489" s="11" t="n">
        <v>45</v>
      </c>
      <c r="C1489" s="11" t="inlineStr">
        <is>
          <t>7ª Fase</t>
        </is>
      </c>
      <c r="D1489" s="11" t="inlineStr">
        <is>
          <t>D</t>
        </is>
      </c>
      <c r="E1489" s="11" t="inlineStr">
        <is>
          <t>Não</t>
        </is>
      </c>
      <c r="F1489" s="11" t="n">
        <v>32</v>
      </c>
      <c r="G1489" s="11" t="n">
        <v>0</v>
      </c>
      <c r="H1489" s="12">
        <f>IF(F1489=0,"",G1489/F1489)</f>
        <v/>
      </c>
    </row>
    <row r="1490">
      <c r="A1490" s="7" t="inlineStr">
        <is>
          <t>Simulado 02</t>
        </is>
      </c>
      <c r="B1490" s="8" t="n">
        <v>45</v>
      </c>
      <c r="C1490" s="8" t="inlineStr">
        <is>
          <t>10ª Fase</t>
        </is>
      </c>
      <c r="D1490" s="8" t="inlineStr">
        <is>
          <t>A</t>
        </is>
      </c>
      <c r="E1490" s="8" t="inlineStr">
        <is>
          <t>Sim</t>
        </is>
      </c>
      <c r="F1490" s="8" t="n">
        <v>31</v>
      </c>
      <c r="G1490" s="8" t="n">
        <v>22</v>
      </c>
      <c r="H1490" s="9">
        <f>IF(F1490=0,"",G1490/F1490)</f>
        <v/>
      </c>
    </row>
    <row r="1491">
      <c r="A1491" s="10" t="inlineStr">
        <is>
          <t>Simulado 02</t>
        </is>
      </c>
      <c r="B1491" s="11" t="n">
        <v>45</v>
      </c>
      <c r="C1491" s="11" t="inlineStr">
        <is>
          <t>10ª Fase</t>
        </is>
      </c>
      <c r="D1491" s="11" t="inlineStr">
        <is>
          <t>B</t>
        </is>
      </c>
      <c r="E1491" s="11" t="inlineStr">
        <is>
          <t>Não</t>
        </is>
      </c>
      <c r="F1491" s="11" t="n">
        <v>31</v>
      </c>
      <c r="G1491" s="11" t="n">
        <v>6</v>
      </c>
      <c r="H1491" s="12">
        <f>IF(F1491=0,"",G1491/F1491)</f>
        <v/>
      </c>
    </row>
    <row r="1492">
      <c r="A1492" s="7" t="inlineStr">
        <is>
          <t>Simulado 02</t>
        </is>
      </c>
      <c r="B1492" s="8" t="n">
        <v>45</v>
      </c>
      <c r="C1492" s="8" t="inlineStr">
        <is>
          <t>10ª Fase</t>
        </is>
      </c>
      <c r="D1492" s="8" t="inlineStr">
        <is>
          <t>C</t>
        </is>
      </c>
      <c r="E1492" s="8" t="inlineStr">
        <is>
          <t>Não</t>
        </is>
      </c>
      <c r="F1492" s="8" t="n">
        <v>31</v>
      </c>
      <c r="G1492" s="8" t="n">
        <v>2</v>
      </c>
      <c r="H1492" s="9">
        <f>IF(F1492=0,"",G1492/F1492)</f>
        <v/>
      </c>
    </row>
    <row r="1493">
      <c r="A1493" s="10" t="inlineStr">
        <is>
          <t>Simulado 02</t>
        </is>
      </c>
      <c r="B1493" s="11" t="n">
        <v>45</v>
      </c>
      <c r="C1493" s="11" t="inlineStr">
        <is>
          <t>10ª Fase</t>
        </is>
      </c>
      <c r="D1493" s="11" t="inlineStr">
        <is>
          <t>D</t>
        </is>
      </c>
      <c r="E1493" s="11" t="inlineStr">
        <is>
          <t>Não</t>
        </is>
      </c>
      <c r="F1493" s="11" t="n">
        <v>31</v>
      </c>
      <c r="G1493" s="11" t="n">
        <v>1</v>
      </c>
      <c r="H1493" s="12">
        <f>IF(F1493=0,"",G1493/F1493)</f>
        <v/>
      </c>
    </row>
    <row r="1494">
      <c r="A1494" s="7" t="inlineStr">
        <is>
          <t>Simulado 02</t>
        </is>
      </c>
      <c r="B1494" s="8" t="n">
        <v>45</v>
      </c>
      <c r="C1494" s="8" t="inlineStr">
        <is>
          <t>11ª Fase</t>
        </is>
      </c>
      <c r="D1494" s="8" t="inlineStr">
        <is>
          <t>A</t>
        </is>
      </c>
      <c r="E1494" s="8" t="inlineStr">
        <is>
          <t>Sim</t>
        </is>
      </c>
      <c r="F1494" s="8" t="n">
        <v>29</v>
      </c>
      <c r="G1494" s="8" t="n">
        <v>18</v>
      </c>
      <c r="H1494" s="9">
        <f>IF(F1494=0,"",G1494/F1494)</f>
        <v/>
      </c>
    </row>
    <row r="1495">
      <c r="A1495" s="10" t="inlineStr">
        <is>
          <t>Simulado 02</t>
        </is>
      </c>
      <c r="B1495" s="11" t="n">
        <v>45</v>
      </c>
      <c r="C1495" s="11" t="inlineStr">
        <is>
          <t>11ª Fase</t>
        </is>
      </c>
      <c r="D1495" s="11" t="inlineStr">
        <is>
          <t>B</t>
        </is>
      </c>
      <c r="E1495" s="11" t="inlineStr">
        <is>
          <t>Não</t>
        </is>
      </c>
      <c r="F1495" s="11" t="n">
        <v>29</v>
      </c>
      <c r="G1495" s="11" t="n">
        <v>7</v>
      </c>
      <c r="H1495" s="12">
        <f>IF(F1495=0,"",G1495/F1495)</f>
        <v/>
      </c>
    </row>
    <row r="1496">
      <c r="A1496" s="7" t="inlineStr">
        <is>
          <t>Simulado 02</t>
        </is>
      </c>
      <c r="B1496" s="8" t="n">
        <v>45</v>
      </c>
      <c r="C1496" s="8" t="inlineStr">
        <is>
          <t>11ª Fase</t>
        </is>
      </c>
      <c r="D1496" s="8" t="inlineStr">
        <is>
          <t>C</t>
        </is>
      </c>
      <c r="E1496" s="8" t="inlineStr">
        <is>
          <t>Não</t>
        </is>
      </c>
      <c r="F1496" s="8" t="n">
        <v>29</v>
      </c>
      <c r="G1496" s="8" t="n">
        <v>3</v>
      </c>
      <c r="H1496" s="9">
        <f>IF(F1496=0,"",G1496/F1496)</f>
        <v/>
      </c>
    </row>
    <row r="1497">
      <c r="A1497" s="10" t="inlineStr">
        <is>
          <t>Simulado 02</t>
        </is>
      </c>
      <c r="B1497" s="11" t="n">
        <v>45</v>
      </c>
      <c r="C1497" s="11" t="inlineStr">
        <is>
          <t>11ª Fase</t>
        </is>
      </c>
      <c r="D1497" s="11" t="inlineStr">
        <is>
          <t>D</t>
        </is>
      </c>
      <c r="E1497" s="11" t="inlineStr">
        <is>
          <t>Não</t>
        </is>
      </c>
      <c r="F1497" s="11" t="n">
        <v>29</v>
      </c>
      <c r="G1497" s="11" t="n">
        <v>1</v>
      </c>
      <c r="H1497" s="12">
        <f>IF(F1497=0,"",G1497/F1497)</f>
        <v/>
      </c>
    </row>
    <row r="1498">
      <c r="A1498" s="7" t="inlineStr">
        <is>
          <t>Simulado 02</t>
        </is>
      </c>
      <c r="B1498" s="8" t="n">
        <v>46</v>
      </c>
      <c r="C1498" s="8" t="inlineStr">
        <is>
          <t>6ª Fase</t>
        </is>
      </c>
      <c r="D1498" s="8" t="inlineStr">
        <is>
          <t>A</t>
        </is>
      </c>
      <c r="E1498" s="8" t="inlineStr">
        <is>
          <t>Não</t>
        </is>
      </c>
      <c r="F1498" s="8" t="n">
        <v>28</v>
      </c>
      <c r="G1498" s="8" t="n">
        <v>3</v>
      </c>
      <c r="H1498" s="9">
        <f>IF(F1498=0,"",G1498/F1498)</f>
        <v/>
      </c>
    </row>
    <row r="1499">
      <c r="A1499" s="10" t="inlineStr">
        <is>
          <t>Simulado 02</t>
        </is>
      </c>
      <c r="B1499" s="11" t="n">
        <v>46</v>
      </c>
      <c r="C1499" s="11" t="inlineStr">
        <is>
          <t>6ª Fase</t>
        </is>
      </c>
      <c r="D1499" s="11" t="inlineStr">
        <is>
          <t>B</t>
        </is>
      </c>
      <c r="E1499" s="11" t="inlineStr">
        <is>
          <t>Sim</t>
        </is>
      </c>
      <c r="F1499" s="11" t="n">
        <v>28</v>
      </c>
      <c r="G1499" s="11" t="n">
        <v>1</v>
      </c>
      <c r="H1499" s="12">
        <f>IF(F1499=0,"",G1499/F1499)</f>
        <v/>
      </c>
    </row>
    <row r="1500">
      <c r="A1500" s="7" t="inlineStr">
        <is>
          <t>Simulado 02</t>
        </is>
      </c>
      <c r="B1500" s="8" t="n">
        <v>46</v>
      </c>
      <c r="C1500" s="8" t="inlineStr">
        <is>
          <t>6ª Fase</t>
        </is>
      </c>
      <c r="D1500" s="8" t="inlineStr">
        <is>
          <t>C</t>
        </is>
      </c>
      <c r="E1500" s="8" t="inlineStr">
        <is>
          <t>Não</t>
        </is>
      </c>
      <c r="F1500" s="8" t="n">
        <v>28</v>
      </c>
      <c r="G1500" s="8" t="n">
        <v>8</v>
      </c>
      <c r="H1500" s="9">
        <f>IF(F1500=0,"",G1500/F1500)</f>
        <v/>
      </c>
    </row>
    <row r="1501">
      <c r="A1501" s="10" t="inlineStr">
        <is>
          <t>Simulado 02</t>
        </is>
      </c>
      <c r="B1501" s="11" t="n">
        <v>46</v>
      </c>
      <c r="C1501" s="11" t="inlineStr">
        <is>
          <t>6ª Fase</t>
        </is>
      </c>
      <c r="D1501" s="11" t="inlineStr">
        <is>
          <t>D</t>
        </is>
      </c>
      <c r="E1501" s="11" t="inlineStr">
        <is>
          <t>Não</t>
        </is>
      </c>
      <c r="F1501" s="11" t="n">
        <v>28</v>
      </c>
      <c r="G1501" s="11" t="n">
        <v>16</v>
      </c>
      <c r="H1501" s="12">
        <f>IF(F1501=0,"",G1501/F1501)</f>
        <v/>
      </c>
    </row>
    <row r="1502">
      <c r="A1502" s="7" t="inlineStr">
        <is>
          <t>Simulado 02</t>
        </is>
      </c>
      <c r="B1502" s="8" t="n">
        <v>46</v>
      </c>
      <c r="C1502" s="8" t="inlineStr">
        <is>
          <t>7ª Fase</t>
        </is>
      </c>
      <c r="D1502" s="8" t="inlineStr">
        <is>
          <t>A</t>
        </is>
      </c>
      <c r="E1502" s="8" t="inlineStr">
        <is>
          <t>Não</t>
        </is>
      </c>
      <c r="F1502" s="8" t="n">
        <v>32</v>
      </c>
      <c r="G1502" s="8" t="n">
        <v>2</v>
      </c>
      <c r="H1502" s="9">
        <f>IF(F1502=0,"",G1502/F1502)</f>
        <v/>
      </c>
    </row>
    <row r="1503">
      <c r="A1503" s="10" t="inlineStr">
        <is>
          <t>Simulado 02</t>
        </is>
      </c>
      <c r="B1503" s="11" t="n">
        <v>46</v>
      </c>
      <c r="C1503" s="11" t="inlineStr">
        <is>
          <t>7ª Fase</t>
        </is>
      </c>
      <c r="D1503" s="11" t="inlineStr">
        <is>
          <t>B</t>
        </is>
      </c>
      <c r="E1503" s="11" t="inlineStr">
        <is>
          <t>Sim</t>
        </is>
      </c>
      <c r="F1503" s="11" t="n">
        <v>32</v>
      </c>
      <c r="G1503" s="11" t="n">
        <v>6</v>
      </c>
      <c r="H1503" s="12">
        <f>IF(F1503=0,"",G1503/F1503)</f>
        <v/>
      </c>
    </row>
    <row r="1504">
      <c r="A1504" s="7" t="inlineStr">
        <is>
          <t>Simulado 02</t>
        </is>
      </c>
      <c r="B1504" s="8" t="n">
        <v>46</v>
      </c>
      <c r="C1504" s="8" t="inlineStr">
        <is>
          <t>7ª Fase</t>
        </is>
      </c>
      <c r="D1504" s="8" t="inlineStr">
        <is>
          <t>C</t>
        </is>
      </c>
      <c r="E1504" s="8" t="inlineStr">
        <is>
          <t>Não</t>
        </is>
      </c>
      <c r="F1504" s="8" t="n">
        <v>32</v>
      </c>
      <c r="G1504" s="8" t="n">
        <v>9</v>
      </c>
      <c r="H1504" s="9">
        <f>IF(F1504=0,"",G1504/F1504)</f>
        <v/>
      </c>
    </row>
    <row r="1505">
      <c r="A1505" s="10" t="inlineStr">
        <is>
          <t>Simulado 02</t>
        </is>
      </c>
      <c r="B1505" s="11" t="n">
        <v>46</v>
      </c>
      <c r="C1505" s="11" t="inlineStr">
        <is>
          <t>7ª Fase</t>
        </is>
      </c>
      <c r="D1505" s="11" t="inlineStr">
        <is>
          <t>D</t>
        </is>
      </c>
      <c r="E1505" s="11" t="inlineStr">
        <is>
          <t>Não</t>
        </is>
      </c>
      <c r="F1505" s="11" t="n">
        <v>32</v>
      </c>
      <c r="G1505" s="11" t="n">
        <v>15</v>
      </c>
      <c r="H1505" s="12">
        <f>IF(F1505=0,"",G1505/F1505)</f>
        <v/>
      </c>
    </row>
    <row r="1506">
      <c r="A1506" s="7" t="inlineStr">
        <is>
          <t>Simulado 02</t>
        </is>
      </c>
      <c r="B1506" s="8" t="n">
        <v>46</v>
      </c>
      <c r="C1506" s="8" t="inlineStr">
        <is>
          <t>10ª Fase</t>
        </is>
      </c>
      <c r="D1506" s="8" t="inlineStr">
        <is>
          <t>A</t>
        </is>
      </c>
      <c r="E1506" s="8" t="inlineStr">
        <is>
          <t>Não</t>
        </is>
      </c>
      <c r="F1506" s="8" t="n">
        <v>31</v>
      </c>
      <c r="G1506" s="8" t="n">
        <v>4</v>
      </c>
      <c r="H1506" s="9">
        <f>IF(F1506=0,"",G1506/F1506)</f>
        <v/>
      </c>
    </row>
    <row r="1507">
      <c r="A1507" s="10" t="inlineStr">
        <is>
          <t>Simulado 02</t>
        </is>
      </c>
      <c r="B1507" s="11" t="n">
        <v>46</v>
      </c>
      <c r="C1507" s="11" t="inlineStr">
        <is>
          <t>10ª Fase</t>
        </is>
      </c>
      <c r="D1507" s="11" t="inlineStr">
        <is>
          <t>B</t>
        </is>
      </c>
      <c r="E1507" s="11" t="inlineStr">
        <is>
          <t>Sim</t>
        </is>
      </c>
      <c r="F1507" s="11" t="n">
        <v>31</v>
      </c>
      <c r="G1507" s="11" t="n">
        <v>9</v>
      </c>
      <c r="H1507" s="12">
        <f>IF(F1507=0,"",G1507/F1507)</f>
        <v/>
      </c>
    </row>
    <row r="1508">
      <c r="A1508" s="7" t="inlineStr">
        <is>
          <t>Simulado 02</t>
        </is>
      </c>
      <c r="B1508" s="8" t="n">
        <v>46</v>
      </c>
      <c r="C1508" s="8" t="inlineStr">
        <is>
          <t>10ª Fase</t>
        </is>
      </c>
      <c r="D1508" s="8" t="inlineStr">
        <is>
          <t>C</t>
        </is>
      </c>
      <c r="E1508" s="8" t="inlineStr">
        <is>
          <t>Não</t>
        </is>
      </c>
      <c r="F1508" s="8" t="n">
        <v>31</v>
      </c>
      <c r="G1508" s="8" t="n">
        <v>8</v>
      </c>
      <c r="H1508" s="9">
        <f>IF(F1508=0,"",G1508/F1508)</f>
        <v/>
      </c>
    </row>
    <row r="1509">
      <c r="A1509" s="10" t="inlineStr">
        <is>
          <t>Simulado 02</t>
        </is>
      </c>
      <c r="B1509" s="11" t="n">
        <v>46</v>
      </c>
      <c r="C1509" s="11" t="inlineStr">
        <is>
          <t>10ª Fase</t>
        </is>
      </c>
      <c r="D1509" s="11" t="inlineStr">
        <is>
          <t>D</t>
        </is>
      </c>
      <c r="E1509" s="11" t="inlineStr">
        <is>
          <t>Não</t>
        </is>
      </c>
      <c r="F1509" s="11" t="n">
        <v>31</v>
      </c>
      <c r="G1509" s="11" t="n">
        <v>10</v>
      </c>
      <c r="H1509" s="12">
        <f>IF(F1509=0,"",G1509/F1509)</f>
        <v/>
      </c>
    </row>
    <row r="1510">
      <c r="A1510" s="7" t="inlineStr">
        <is>
          <t>Simulado 02</t>
        </is>
      </c>
      <c r="B1510" s="8" t="n">
        <v>46</v>
      </c>
      <c r="C1510" s="8" t="inlineStr">
        <is>
          <t>11ª Fase</t>
        </is>
      </c>
      <c r="D1510" s="8" t="inlineStr">
        <is>
          <t>A</t>
        </is>
      </c>
      <c r="E1510" s="8" t="inlineStr">
        <is>
          <t>Não</t>
        </is>
      </c>
      <c r="F1510" s="8" t="n">
        <v>29</v>
      </c>
      <c r="G1510" s="8" t="n">
        <v>0</v>
      </c>
      <c r="H1510" s="9">
        <f>IF(F1510=0,"",G1510/F1510)</f>
        <v/>
      </c>
    </row>
    <row r="1511">
      <c r="A1511" s="10" t="inlineStr">
        <is>
          <t>Simulado 02</t>
        </is>
      </c>
      <c r="B1511" s="11" t="n">
        <v>46</v>
      </c>
      <c r="C1511" s="11" t="inlineStr">
        <is>
          <t>11ª Fase</t>
        </is>
      </c>
      <c r="D1511" s="11" t="inlineStr">
        <is>
          <t>B</t>
        </is>
      </c>
      <c r="E1511" s="11" t="inlineStr">
        <is>
          <t>Sim</t>
        </is>
      </c>
      <c r="F1511" s="11" t="n">
        <v>29</v>
      </c>
      <c r="G1511" s="11" t="n">
        <v>12</v>
      </c>
      <c r="H1511" s="12">
        <f>IF(F1511=0,"",G1511/F1511)</f>
        <v/>
      </c>
    </row>
    <row r="1512">
      <c r="A1512" s="7" t="inlineStr">
        <is>
          <t>Simulado 02</t>
        </is>
      </c>
      <c r="B1512" s="8" t="n">
        <v>46</v>
      </c>
      <c r="C1512" s="8" t="inlineStr">
        <is>
          <t>11ª Fase</t>
        </is>
      </c>
      <c r="D1512" s="8" t="inlineStr">
        <is>
          <t>C</t>
        </is>
      </c>
      <c r="E1512" s="8" t="inlineStr">
        <is>
          <t>Não</t>
        </is>
      </c>
      <c r="F1512" s="8" t="n">
        <v>29</v>
      </c>
      <c r="G1512" s="8" t="n">
        <v>7</v>
      </c>
      <c r="H1512" s="9">
        <f>IF(F1512=0,"",G1512/F1512)</f>
        <v/>
      </c>
    </row>
    <row r="1513">
      <c r="A1513" s="10" t="inlineStr">
        <is>
          <t>Simulado 02</t>
        </is>
      </c>
      <c r="B1513" s="11" t="n">
        <v>46</v>
      </c>
      <c r="C1513" s="11" t="inlineStr">
        <is>
          <t>11ª Fase</t>
        </is>
      </c>
      <c r="D1513" s="11" t="inlineStr">
        <is>
          <t>D</t>
        </is>
      </c>
      <c r="E1513" s="11" t="inlineStr">
        <is>
          <t>Não</t>
        </is>
      </c>
      <c r="F1513" s="11" t="n">
        <v>29</v>
      </c>
      <c r="G1513" s="11" t="n">
        <v>10</v>
      </c>
      <c r="H1513" s="12">
        <f>IF(F1513=0,"",G1513/F1513)</f>
        <v/>
      </c>
    </row>
    <row r="1514">
      <c r="A1514" s="7" t="inlineStr">
        <is>
          <t>Simulado 02</t>
        </is>
      </c>
      <c r="B1514" s="8" t="n">
        <v>47</v>
      </c>
      <c r="C1514" s="8" t="inlineStr">
        <is>
          <t>6ª Fase</t>
        </is>
      </c>
      <c r="D1514" s="8" t="inlineStr">
        <is>
          <t>A</t>
        </is>
      </c>
      <c r="E1514" s="8" t="inlineStr">
        <is>
          <t>Não</t>
        </is>
      </c>
      <c r="F1514" s="8" t="n">
        <v>28</v>
      </c>
      <c r="G1514" s="8" t="n">
        <v>1</v>
      </c>
      <c r="H1514" s="9">
        <f>IF(F1514=0,"",G1514/F1514)</f>
        <v/>
      </c>
    </row>
    <row r="1515">
      <c r="A1515" s="10" t="inlineStr">
        <is>
          <t>Simulado 02</t>
        </is>
      </c>
      <c r="B1515" s="11" t="n">
        <v>47</v>
      </c>
      <c r="C1515" s="11" t="inlineStr">
        <is>
          <t>6ª Fase</t>
        </is>
      </c>
      <c r="D1515" s="11" t="inlineStr">
        <is>
          <t>B</t>
        </is>
      </c>
      <c r="E1515" s="11" t="inlineStr">
        <is>
          <t>Sim</t>
        </is>
      </c>
      <c r="F1515" s="11" t="n">
        <v>28</v>
      </c>
      <c r="G1515" s="11" t="n">
        <v>20</v>
      </c>
      <c r="H1515" s="12">
        <f>IF(F1515=0,"",G1515/F1515)</f>
        <v/>
      </c>
    </row>
    <row r="1516">
      <c r="A1516" s="7" t="inlineStr">
        <is>
          <t>Simulado 02</t>
        </is>
      </c>
      <c r="B1516" s="8" t="n">
        <v>47</v>
      </c>
      <c r="C1516" s="8" t="inlineStr">
        <is>
          <t>6ª Fase</t>
        </is>
      </c>
      <c r="D1516" s="8" t="inlineStr">
        <is>
          <t>C</t>
        </is>
      </c>
      <c r="E1516" s="8" t="inlineStr">
        <is>
          <t>Não</t>
        </is>
      </c>
      <c r="F1516" s="8" t="n">
        <v>28</v>
      </c>
      <c r="G1516" s="8" t="n">
        <v>1</v>
      </c>
      <c r="H1516" s="9">
        <f>IF(F1516=0,"",G1516/F1516)</f>
        <v/>
      </c>
    </row>
    <row r="1517">
      <c r="A1517" s="10" t="inlineStr">
        <is>
          <t>Simulado 02</t>
        </is>
      </c>
      <c r="B1517" s="11" t="n">
        <v>47</v>
      </c>
      <c r="C1517" s="11" t="inlineStr">
        <is>
          <t>6ª Fase</t>
        </is>
      </c>
      <c r="D1517" s="11" t="inlineStr">
        <is>
          <t>D</t>
        </is>
      </c>
      <c r="E1517" s="11" t="inlineStr">
        <is>
          <t>Não</t>
        </is>
      </c>
      <c r="F1517" s="11" t="n">
        <v>28</v>
      </c>
      <c r="G1517" s="11" t="n">
        <v>6</v>
      </c>
      <c r="H1517" s="12">
        <f>IF(F1517=0,"",G1517/F1517)</f>
        <v/>
      </c>
    </row>
    <row r="1518">
      <c r="A1518" s="7" t="inlineStr">
        <is>
          <t>Simulado 02</t>
        </is>
      </c>
      <c r="B1518" s="8" t="n">
        <v>47</v>
      </c>
      <c r="C1518" s="8" t="inlineStr">
        <is>
          <t>7ª Fase</t>
        </is>
      </c>
      <c r="D1518" s="8" t="inlineStr">
        <is>
          <t>A</t>
        </is>
      </c>
      <c r="E1518" s="8" t="inlineStr">
        <is>
          <t>Não</t>
        </is>
      </c>
      <c r="F1518" s="8" t="n">
        <v>32</v>
      </c>
      <c r="G1518" s="8" t="n">
        <v>5</v>
      </c>
      <c r="H1518" s="9">
        <f>IF(F1518=0,"",G1518/F1518)</f>
        <v/>
      </c>
    </row>
    <row r="1519">
      <c r="A1519" s="10" t="inlineStr">
        <is>
          <t>Simulado 02</t>
        </is>
      </c>
      <c r="B1519" s="11" t="n">
        <v>47</v>
      </c>
      <c r="C1519" s="11" t="inlineStr">
        <is>
          <t>7ª Fase</t>
        </is>
      </c>
      <c r="D1519" s="11" t="inlineStr">
        <is>
          <t>B</t>
        </is>
      </c>
      <c r="E1519" s="11" t="inlineStr">
        <is>
          <t>Sim</t>
        </is>
      </c>
      <c r="F1519" s="11" t="n">
        <v>32</v>
      </c>
      <c r="G1519" s="11" t="n">
        <v>23</v>
      </c>
      <c r="H1519" s="12">
        <f>IF(F1519=0,"",G1519/F1519)</f>
        <v/>
      </c>
    </row>
    <row r="1520">
      <c r="A1520" s="7" t="inlineStr">
        <is>
          <t>Simulado 02</t>
        </is>
      </c>
      <c r="B1520" s="8" t="n">
        <v>47</v>
      </c>
      <c r="C1520" s="8" t="inlineStr">
        <is>
          <t>7ª Fase</t>
        </is>
      </c>
      <c r="D1520" s="8" t="inlineStr">
        <is>
          <t>C</t>
        </is>
      </c>
      <c r="E1520" s="8" t="inlineStr">
        <is>
          <t>Não</t>
        </is>
      </c>
      <c r="F1520" s="8" t="n">
        <v>32</v>
      </c>
      <c r="G1520" s="8" t="n">
        <v>1</v>
      </c>
      <c r="H1520" s="9">
        <f>IF(F1520=0,"",G1520/F1520)</f>
        <v/>
      </c>
    </row>
    <row r="1521">
      <c r="A1521" s="10" t="inlineStr">
        <is>
          <t>Simulado 02</t>
        </is>
      </c>
      <c r="B1521" s="11" t="n">
        <v>47</v>
      </c>
      <c r="C1521" s="11" t="inlineStr">
        <is>
          <t>7ª Fase</t>
        </is>
      </c>
      <c r="D1521" s="11" t="inlineStr">
        <is>
          <t>D</t>
        </is>
      </c>
      <c r="E1521" s="11" t="inlineStr">
        <is>
          <t>Não</t>
        </is>
      </c>
      <c r="F1521" s="11" t="n">
        <v>32</v>
      </c>
      <c r="G1521" s="11" t="n">
        <v>3</v>
      </c>
      <c r="H1521" s="12">
        <f>IF(F1521=0,"",G1521/F1521)</f>
        <v/>
      </c>
    </row>
    <row r="1522">
      <c r="A1522" s="7" t="inlineStr">
        <is>
          <t>Simulado 02</t>
        </is>
      </c>
      <c r="B1522" s="8" t="n">
        <v>47</v>
      </c>
      <c r="C1522" s="8" t="inlineStr">
        <is>
          <t>10ª Fase</t>
        </is>
      </c>
      <c r="D1522" s="8" t="inlineStr">
        <is>
          <t>A</t>
        </is>
      </c>
      <c r="E1522" s="8" t="inlineStr">
        <is>
          <t>Não</t>
        </is>
      </c>
      <c r="F1522" s="8" t="n">
        <v>31</v>
      </c>
      <c r="G1522" s="8" t="n">
        <v>0</v>
      </c>
      <c r="H1522" s="9">
        <f>IF(F1522=0,"",G1522/F1522)</f>
        <v/>
      </c>
    </row>
    <row r="1523">
      <c r="A1523" s="10" t="inlineStr">
        <is>
          <t>Simulado 02</t>
        </is>
      </c>
      <c r="B1523" s="11" t="n">
        <v>47</v>
      </c>
      <c r="C1523" s="11" t="inlineStr">
        <is>
          <t>10ª Fase</t>
        </is>
      </c>
      <c r="D1523" s="11" t="inlineStr">
        <is>
          <t>B</t>
        </is>
      </c>
      <c r="E1523" s="11" t="inlineStr">
        <is>
          <t>Sim</t>
        </is>
      </c>
      <c r="F1523" s="11" t="n">
        <v>31</v>
      </c>
      <c r="G1523" s="11" t="n">
        <v>29</v>
      </c>
      <c r="H1523" s="12">
        <f>IF(F1523=0,"",G1523/F1523)</f>
        <v/>
      </c>
    </row>
    <row r="1524">
      <c r="A1524" s="7" t="inlineStr">
        <is>
          <t>Simulado 02</t>
        </is>
      </c>
      <c r="B1524" s="8" t="n">
        <v>47</v>
      </c>
      <c r="C1524" s="8" t="inlineStr">
        <is>
          <t>10ª Fase</t>
        </is>
      </c>
      <c r="D1524" s="8" t="inlineStr">
        <is>
          <t>C</t>
        </is>
      </c>
      <c r="E1524" s="8" t="inlineStr">
        <is>
          <t>Não</t>
        </is>
      </c>
      <c r="F1524" s="8" t="n">
        <v>31</v>
      </c>
      <c r="G1524" s="8" t="n">
        <v>0</v>
      </c>
      <c r="H1524" s="9">
        <f>IF(F1524=0,"",G1524/F1524)</f>
        <v/>
      </c>
    </row>
    <row r="1525">
      <c r="A1525" s="10" t="inlineStr">
        <is>
          <t>Simulado 02</t>
        </is>
      </c>
      <c r="B1525" s="11" t="n">
        <v>47</v>
      </c>
      <c r="C1525" s="11" t="inlineStr">
        <is>
          <t>10ª Fase</t>
        </is>
      </c>
      <c r="D1525" s="11" t="inlineStr">
        <is>
          <t>D</t>
        </is>
      </c>
      <c r="E1525" s="11" t="inlineStr">
        <is>
          <t>Não</t>
        </is>
      </c>
      <c r="F1525" s="11" t="n">
        <v>31</v>
      </c>
      <c r="G1525" s="11" t="n">
        <v>2</v>
      </c>
      <c r="H1525" s="12">
        <f>IF(F1525=0,"",G1525/F1525)</f>
        <v/>
      </c>
    </row>
    <row r="1526">
      <c r="A1526" s="7" t="inlineStr">
        <is>
          <t>Simulado 02</t>
        </is>
      </c>
      <c r="B1526" s="8" t="n">
        <v>47</v>
      </c>
      <c r="C1526" s="8" t="inlineStr">
        <is>
          <t>11ª Fase</t>
        </is>
      </c>
      <c r="D1526" s="8" t="inlineStr">
        <is>
          <t>A</t>
        </is>
      </c>
      <c r="E1526" s="8" t="inlineStr">
        <is>
          <t>Não</t>
        </is>
      </c>
      <c r="F1526" s="8" t="n">
        <v>29</v>
      </c>
      <c r="G1526" s="8" t="n">
        <v>2</v>
      </c>
      <c r="H1526" s="9">
        <f>IF(F1526=0,"",G1526/F1526)</f>
        <v/>
      </c>
    </row>
    <row r="1527">
      <c r="A1527" s="10" t="inlineStr">
        <is>
          <t>Simulado 02</t>
        </is>
      </c>
      <c r="B1527" s="11" t="n">
        <v>47</v>
      </c>
      <c r="C1527" s="11" t="inlineStr">
        <is>
          <t>11ª Fase</t>
        </is>
      </c>
      <c r="D1527" s="11" t="inlineStr">
        <is>
          <t>B</t>
        </is>
      </c>
      <c r="E1527" s="11" t="inlineStr">
        <is>
          <t>Sim</t>
        </is>
      </c>
      <c r="F1527" s="11" t="n">
        <v>29</v>
      </c>
      <c r="G1527" s="11" t="n">
        <v>25</v>
      </c>
      <c r="H1527" s="12">
        <f>IF(F1527=0,"",G1527/F1527)</f>
        <v/>
      </c>
    </row>
    <row r="1528">
      <c r="A1528" s="7" t="inlineStr">
        <is>
          <t>Simulado 02</t>
        </is>
      </c>
      <c r="B1528" s="8" t="n">
        <v>47</v>
      </c>
      <c r="C1528" s="8" t="inlineStr">
        <is>
          <t>11ª Fase</t>
        </is>
      </c>
      <c r="D1528" s="8" t="inlineStr">
        <is>
          <t>C</t>
        </is>
      </c>
      <c r="E1528" s="8" t="inlineStr">
        <is>
          <t>Não</t>
        </is>
      </c>
      <c r="F1528" s="8" t="n">
        <v>29</v>
      </c>
      <c r="G1528" s="8" t="n">
        <v>0</v>
      </c>
      <c r="H1528" s="9">
        <f>IF(F1528=0,"",G1528/F1528)</f>
        <v/>
      </c>
    </row>
    <row r="1529">
      <c r="A1529" s="10" t="inlineStr">
        <is>
          <t>Simulado 02</t>
        </is>
      </c>
      <c r="B1529" s="11" t="n">
        <v>47</v>
      </c>
      <c r="C1529" s="11" t="inlineStr">
        <is>
          <t>11ª Fase</t>
        </is>
      </c>
      <c r="D1529" s="11" t="inlineStr">
        <is>
          <t>D</t>
        </is>
      </c>
      <c r="E1529" s="11" t="inlineStr">
        <is>
          <t>Não</t>
        </is>
      </c>
      <c r="F1529" s="11" t="n">
        <v>29</v>
      </c>
      <c r="G1529" s="11" t="n">
        <v>2</v>
      </c>
      <c r="H1529" s="12">
        <f>IF(F1529=0,"",G1529/F1529)</f>
        <v/>
      </c>
    </row>
    <row r="1530">
      <c r="A1530" s="7" t="inlineStr">
        <is>
          <t>Simulado 02</t>
        </is>
      </c>
      <c r="B1530" s="8" t="n">
        <v>48</v>
      </c>
      <c r="C1530" s="8" t="inlineStr">
        <is>
          <t>6ª Fase</t>
        </is>
      </c>
      <c r="D1530" s="8" t="inlineStr">
        <is>
          <t>A</t>
        </is>
      </c>
      <c r="E1530" s="8" t="inlineStr">
        <is>
          <t>Não</t>
        </is>
      </c>
      <c r="F1530" s="8" t="n">
        <v>28</v>
      </c>
      <c r="G1530" s="8" t="n">
        <v>0</v>
      </c>
      <c r="H1530" s="9">
        <f>IF(F1530=0,"",G1530/F1530)</f>
        <v/>
      </c>
    </row>
    <row r="1531">
      <c r="A1531" s="10" t="inlineStr">
        <is>
          <t>Simulado 02</t>
        </is>
      </c>
      <c r="B1531" s="11" t="n">
        <v>48</v>
      </c>
      <c r="C1531" s="11" t="inlineStr">
        <is>
          <t>6ª Fase</t>
        </is>
      </c>
      <c r="D1531" s="11" t="inlineStr">
        <is>
          <t>B</t>
        </is>
      </c>
      <c r="E1531" s="11" t="inlineStr">
        <is>
          <t>Não</t>
        </is>
      </c>
      <c r="F1531" s="11" t="n">
        <v>28</v>
      </c>
      <c r="G1531" s="11" t="n">
        <v>25</v>
      </c>
      <c r="H1531" s="12">
        <f>IF(F1531=0,"",G1531/F1531)</f>
        <v/>
      </c>
    </row>
    <row r="1532">
      <c r="A1532" s="7" t="inlineStr">
        <is>
          <t>Simulado 02</t>
        </is>
      </c>
      <c r="B1532" s="8" t="n">
        <v>48</v>
      </c>
      <c r="C1532" s="8" t="inlineStr">
        <is>
          <t>6ª Fase</t>
        </is>
      </c>
      <c r="D1532" s="8" t="inlineStr">
        <is>
          <t>C</t>
        </is>
      </c>
      <c r="E1532" s="8" t="inlineStr">
        <is>
          <t>Sim</t>
        </is>
      </c>
      <c r="F1532" s="8" t="n">
        <v>28</v>
      </c>
      <c r="G1532" s="8" t="n">
        <v>3</v>
      </c>
      <c r="H1532" s="9">
        <f>IF(F1532=0,"",G1532/F1532)</f>
        <v/>
      </c>
    </row>
    <row r="1533">
      <c r="A1533" s="10" t="inlineStr">
        <is>
          <t>Simulado 02</t>
        </is>
      </c>
      <c r="B1533" s="11" t="n">
        <v>48</v>
      </c>
      <c r="C1533" s="11" t="inlineStr">
        <is>
          <t>6ª Fase</t>
        </is>
      </c>
      <c r="D1533" s="11" t="inlineStr">
        <is>
          <t>D</t>
        </is>
      </c>
      <c r="E1533" s="11" t="inlineStr">
        <is>
          <t>Não</t>
        </is>
      </c>
      <c r="F1533" s="11" t="n">
        <v>28</v>
      </c>
      <c r="G1533" s="11" t="n">
        <v>0</v>
      </c>
      <c r="H1533" s="12">
        <f>IF(F1533=0,"",G1533/F1533)</f>
        <v/>
      </c>
    </row>
    <row r="1534">
      <c r="A1534" s="7" t="inlineStr">
        <is>
          <t>Simulado 02</t>
        </is>
      </c>
      <c r="B1534" s="8" t="n">
        <v>48</v>
      </c>
      <c r="C1534" s="8" t="inlineStr">
        <is>
          <t>7ª Fase</t>
        </is>
      </c>
      <c r="D1534" s="8" t="inlineStr">
        <is>
          <t>A</t>
        </is>
      </c>
      <c r="E1534" s="8" t="inlineStr">
        <is>
          <t>Não</t>
        </is>
      </c>
      <c r="F1534" s="8" t="n">
        <v>32</v>
      </c>
      <c r="G1534" s="8" t="n">
        <v>1</v>
      </c>
      <c r="H1534" s="9">
        <f>IF(F1534=0,"",G1534/F1534)</f>
        <v/>
      </c>
    </row>
    <row r="1535">
      <c r="A1535" s="10" t="inlineStr">
        <is>
          <t>Simulado 02</t>
        </is>
      </c>
      <c r="B1535" s="11" t="n">
        <v>48</v>
      </c>
      <c r="C1535" s="11" t="inlineStr">
        <is>
          <t>7ª Fase</t>
        </is>
      </c>
      <c r="D1535" s="11" t="inlineStr">
        <is>
          <t>B</t>
        </is>
      </c>
      <c r="E1535" s="11" t="inlineStr">
        <is>
          <t>Não</t>
        </is>
      </c>
      <c r="F1535" s="11" t="n">
        <v>32</v>
      </c>
      <c r="G1535" s="11" t="n">
        <v>27</v>
      </c>
      <c r="H1535" s="12">
        <f>IF(F1535=0,"",G1535/F1535)</f>
        <v/>
      </c>
    </row>
    <row r="1536">
      <c r="A1536" s="7" t="inlineStr">
        <is>
          <t>Simulado 02</t>
        </is>
      </c>
      <c r="B1536" s="8" t="n">
        <v>48</v>
      </c>
      <c r="C1536" s="8" t="inlineStr">
        <is>
          <t>7ª Fase</t>
        </is>
      </c>
      <c r="D1536" s="8" t="inlineStr">
        <is>
          <t>C</t>
        </is>
      </c>
      <c r="E1536" s="8" t="inlineStr">
        <is>
          <t>Sim</t>
        </is>
      </c>
      <c r="F1536" s="8" t="n">
        <v>32</v>
      </c>
      <c r="G1536" s="8" t="n">
        <v>4</v>
      </c>
      <c r="H1536" s="9">
        <f>IF(F1536=0,"",G1536/F1536)</f>
        <v/>
      </c>
    </row>
    <row r="1537">
      <c r="A1537" s="10" t="inlineStr">
        <is>
          <t>Simulado 02</t>
        </is>
      </c>
      <c r="B1537" s="11" t="n">
        <v>48</v>
      </c>
      <c r="C1537" s="11" t="inlineStr">
        <is>
          <t>7ª Fase</t>
        </is>
      </c>
      <c r="D1537" s="11" t="inlineStr">
        <is>
          <t>D</t>
        </is>
      </c>
      <c r="E1537" s="11" t="inlineStr">
        <is>
          <t>Não</t>
        </is>
      </c>
      <c r="F1537" s="11" t="n">
        <v>32</v>
      </c>
      <c r="G1537" s="11" t="n">
        <v>0</v>
      </c>
      <c r="H1537" s="12">
        <f>IF(F1537=0,"",G1537/F1537)</f>
        <v/>
      </c>
    </row>
    <row r="1538">
      <c r="A1538" s="7" t="inlineStr">
        <is>
          <t>Simulado 02</t>
        </is>
      </c>
      <c r="B1538" s="8" t="n">
        <v>48</v>
      </c>
      <c r="C1538" s="8" t="inlineStr">
        <is>
          <t>10ª Fase</t>
        </is>
      </c>
      <c r="D1538" s="8" t="inlineStr">
        <is>
          <t>A</t>
        </is>
      </c>
      <c r="E1538" s="8" t="inlineStr">
        <is>
          <t>Não</t>
        </is>
      </c>
      <c r="F1538" s="8" t="n">
        <v>31</v>
      </c>
      <c r="G1538" s="8" t="n">
        <v>1</v>
      </c>
      <c r="H1538" s="9">
        <f>IF(F1538=0,"",G1538/F1538)</f>
        <v/>
      </c>
    </row>
    <row r="1539">
      <c r="A1539" s="10" t="inlineStr">
        <is>
          <t>Simulado 02</t>
        </is>
      </c>
      <c r="B1539" s="11" t="n">
        <v>48</v>
      </c>
      <c r="C1539" s="11" t="inlineStr">
        <is>
          <t>10ª Fase</t>
        </is>
      </c>
      <c r="D1539" s="11" t="inlineStr">
        <is>
          <t>B</t>
        </is>
      </c>
      <c r="E1539" s="11" t="inlineStr">
        <is>
          <t>Não</t>
        </is>
      </c>
      <c r="F1539" s="11" t="n">
        <v>31</v>
      </c>
      <c r="G1539" s="11" t="n">
        <v>24</v>
      </c>
      <c r="H1539" s="12">
        <f>IF(F1539=0,"",G1539/F1539)</f>
        <v/>
      </c>
    </row>
    <row r="1540">
      <c r="A1540" s="7" t="inlineStr">
        <is>
          <t>Simulado 02</t>
        </is>
      </c>
      <c r="B1540" s="8" t="n">
        <v>48</v>
      </c>
      <c r="C1540" s="8" t="inlineStr">
        <is>
          <t>10ª Fase</t>
        </is>
      </c>
      <c r="D1540" s="8" t="inlineStr">
        <is>
          <t>C</t>
        </is>
      </c>
      <c r="E1540" s="8" t="inlineStr">
        <is>
          <t>Sim</t>
        </is>
      </c>
      <c r="F1540" s="8" t="n">
        <v>31</v>
      </c>
      <c r="G1540" s="8" t="n">
        <v>6</v>
      </c>
      <c r="H1540" s="9">
        <f>IF(F1540=0,"",G1540/F1540)</f>
        <v/>
      </c>
    </row>
    <row r="1541">
      <c r="A1541" s="10" t="inlineStr">
        <is>
          <t>Simulado 02</t>
        </is>
      </c>
      <c r="B1541" s="11" t="n">
        <v>48</v>
      </c>
      <c r="C1541" s="11" t="inlineStr">
        <is>
          <t>10ª Fase</t>
        </is>
      </c>
      <c r="D1541" s="11" t="inlineStr">
        <is>
          <t>D</t>
        </is>
      </c>
      <c r="E1541" s="11" t="inlineStr">
        <is>
          <t>Não</t>
        </is>
      </c>
      <c r="F1541" s="11" t="n">
        <v>31</v>
      </c>
      <c r="G1541" s="11" t="n">
        <v>0</v>
      </c>
      <c r="H1541" s="12">
        <f>IF(F1541=0,"",G1541/F1541)</f>
        <v/>
      </c>
    </row>
    <row r="1542">
      <c r="A1542" s="7" t="inlineStr">
        <is>
          <t>Simulado 02</t>
        </is>
      </c>
      <c r="B1542" s="8" t="n">
        <v>48</v>
      </c>
      <c r="C1542" s="8" t="inlineStr">
        <is>
          <t>11ª Fase</t>
        </is>
      </c>
      <c r="D1542" s="8" t="inlineStr">
        <is>
          <t>A</t>
        </is>
      </c>
      <c r="E1542" s="8" t="inlineStr">
        <is>
          <t>Não</t>
        </is>
      </c>
      <c r="F1542" s="8" t="n">
        <v>29</v>
      </c>
      <c r="G1542" s="8" t="n">
        <v>0</v>
      </c>
      <c r="H1542" s="9">
        <f>IF(F1542=0,"",G1542/F1542)</f>
        <v/>
      </c>
    </row>
    <row r="1543">
      <c r="A1543" s="10" t="inlineStr">
        <is>
          <t>Simulado 02</t>
        </is>
      </c>
      <c r="B1543" s="11" t="n">
        <v>48</v>
      </c>
      <c r="C1543" s="11" t="inlineStr">
        <is>
          <t>11ª Fase</t>
        </is>
      </c>
      <c r="D1543" s="11" t="inlineStr">
        <is>
          <t>B</t>
        </is>
      </c>
      <c r="E1543" s="11" t="inlineStr">
        <is>
          <t>Não</t>
        </is>
      </c>
      <c r="F1543" s="11" t="n">
        <v>29</v>
      </c>
      <c r="G1543" s="11" t="n">
        <v>23</v>
      </c>
      <c r="H1543" s="12">
        <f>IF(F1543=0,"",G1543/F1543)</f>
        <v/>
      </c>
    </row>
    <row r="1544">
      <c r="A1544" s="7" t="inlineStr">
        <is>
          <t>Simulado 02</t>
        </is>
      </c>
      <c r="B1544" s="8" t="n">
        <v>48</v>
      </c>
      <c r="C1544" s="8" t="inlineStr">
        <is>
          <t>11ª Fase</t>
        </is>
      </c>
      <c r="D1544" s="8" t="inlineStr">
        <is>
          <t>C</t>
        </is>
      </c>
      <c r="E1544" s="8" t="inlineStr">
        <is>
          <t>Sim</t>
        </is>
      </c>
      <c r="F1544" s="8" t="n">
        <v>29</v>
      </c>
      <c r="G1544" s="8" t="n">
        <v>6</v>
      </c>
      <c r="H1544" s="9">
        <f>IF(F1544=0,"",G1544/F1544)</f>
        <v/>
      </c>
    </row>
    <row r="1545">
      <c r="A1545" s="10" t="inlineStr">
        <is>
          <t>Simulado 02</t>
        </is>
      </c>
      <c r="B1545" s="11" t="n">
        <v>48</v>
      </c>
      <c r="C1545" s="11" t="inlineStr">
        <is>
          <t>11ª Fase</t>
        </is>
      </c>
      <c r="D1545" s="11" t="inlineStr">
        <is>
          <t>D</t>
        </is>
      </c>
      <c r="E1545" s="11" t="inlineStr">
        <is>
          <t>Não</t>
        </is>
      </c>
      <c r="F1545" s="11" t="n">
        <v>29</v>
      </c>
      <c r="G1545" s="11" t="n">
        <v>0</v>
      </c>
      <c r="H1545" s="12">
        <f>IF(F1545=0,"",G1545/F1545)</f>
        <v/>
      </c>
    </row>
    <row r="1546">
      <c r="A1546" s="7" t="inlineStr">
        <is>
          <t>Simulado 02</t>
        </is>
      </c>
      <c r="B1546" s="8" t="n">
        <v>49</v>
      </c>
      <c r="C1546" s="8" t="inlineStr">
        <is>
          <t>6ª Fase</t>
        </is>
      </c>
      <c r="D1546" s="8" t="inlineStr">
        <is>
          <t>A</t>
        </is>
      </c>
      <c r="E1546" s="8" t="inlineStr">
        <is>
          <t>Sim</t>
        </is>
      </c>
      <c r="F1546" s="8" t="n">
        <v>28</v>
      </c>
      <c r="G1546" s="8" t="n">
        <v>5</v>
      </c>
      <c r="H1546" s="9">
        <f>IF(F1546=0,"",G1546/F1546)</f>
        <v/>
      </c>
    </row>
    <row r="1547">
      <c r="A1547" s="10" t="inlineStr">
        <is>
          <t>Simulado 02</t>
        </is>
      </c>
      <c r="B1547" s="11" t="n">
        <v>49</v>
      </c>
      <c r="C1547" s="11" t="inlineStr">
        <is>
          <t>6ª Fase</t>
        </is>
      </c>
      <c r="D1547" s="11" t="inlineStr">
        <is>
          <t>B</t>
        </is>
      </c>
      <c r="E1547" s="11" t="inlineStr">
        <is>
          <t>Não</t>
        </is>
      </c>
      <c r="F1547" s="11" t="n">
        <v>28</v>
      </c>
      <c r="G1547" s="11" t="n">
        <v>13</v>
      </c>
      <c r="H1547" s="12">
        <f>IF(F1547=0,"",G1547/F1547)</f>
        <v/>
      </c>
    </row>
    <row r="1548">
      <c r="A1548" s="7" t="inlineStr">
        <is>
          <t>Simulado 02</t>
        </is>
      </c>
      <c r="B1548" s="8" t="n">
        <v>49</v>
      </c>
      <c r="C1548" s="8" t="inlineStr">
        <is>
          <t>6ª Fase</t>
        </is>
      </c>
      <c r="D1548" s="8" t="inlineStr">
        <is>
          <t>C</t>
        </is>
      </c>
      <c r="E1548" s="8" t="inlineStr">
        <is>
          <t>Não</t>
        </is>
      </c>
      <c r="F1548" s="8" t="n">
        <v>28</v>
      </c>
      <c r="G1548" s="8" t="n">
        <v>5</v>
      </c>
      <c r="H1548" s="9">
        <f>IF(F1548=0,"",G1548/F1548)</f>
        <v/>
      </c>
    </row>
    <row r="1549">
      <c r="A1549" s="10" t="inlineStr">
        <is>
          <t>Simulado 02</t>
        </is>
      </c>
      <c r="B1549" s="11" t="n">
        <v>49</v>
      </c>
      <c r="C1549" s="11" t="inlineStr">
        <is>
          <t>6ª Fase</t>
        </is>
      </c>
      <c r="D1549" s="11" t="inlineStr">
        <is>
          <t>D</t>
        </is>
      </c>
      <c r="E1549" s="11" t="inlineStr">
        <is>
          <t>Não</t>
        </is>
      </c>
      <c r="F1549" s="11" t="n">
        <v>28</v>
      </c>
      <c r="G1549" s="11" t="n">
        <v>5</v>
      </c>
      <c r="H1549" s="12">
        <f>IF(F1549=0,"",G1549/F1549)</f>
        <v/>
      </c>
    </row>
    <row r="1550">
      <c r="A1550" s="7" t="inlineStr">
        <is>
          <t>Simulado 02</t>
        </is>
      </c>
      <c r="B1550" s="8" t="n">
        <v>49</v>
      </c>
      <c r="C1550" s="8" t="inlineStr">
        <is>
          <t>7ª Fase</t>
        </is>
      </c>
      <c r="D1550" s="8" t="inlineStr">
        <is>
          <t>A</t>
        </is>
      </c>
      <c r="E1550" s="8" t="inlineStr">
        <is>
          <t>Sim</t>
        </is>
      </c>
      <c r="F1550" s="8" t="n">
        <v>32</v>
      </c>
      <c r="G1550" s="8" t="n">
        <v>2</v>
      </c>
      <c r="H1550" s="9">
        <f>IF(F1550=0,"",G1550/F1550)</f>
        <v/>
      </c>
    </row>
    <row r="1551">
      <c r="A1551" s="10" t="inlineStr">
        <is>
          <t>Simulado 02</t>
        </is>
      </c>
      <c r="B1551" s="11" t="n">
        <v>49</v>
      </c>
      <c r="C1551" s="11" t="inlineStr">
        <is>
          <t>7ª Fase</t>
        </is>
      </c>
      <c r="D1551" s="11" t="inlineStr">
        <is>
          <t>B</t>
        </is>
      </c>
      <c r="E1551" s="11" t="inlineStr">
        <is>
          <t>Não</t>
        </is>
      </c>
      <c r="F1551" s="11" t="n">
        <v>32</v>
      </c>
      <c r="G1551" s="11" t="n">
        <v>15</v>
      </c>
      <c r="H1551" s="12">
        <f>IF(F1551=0,"",G1551/F1551)</f>
        <v/>
      </c>
    </row>
    <row r="1552">
      <c r="A1552" s="7" t="inlineStr">
        <is>
          <t>Simulado 02</t>
        </is>
      </c>
      <c r="B1552" s="8" t="n">
        <v>49</v>
      </c>
      <c r="C1552" s="8" t="inlineStr">
        <is>
          <t>7ª Fase</t>
        </is>
      </c>
      <c r="D1552" s="8" t="inlineStr">
        <is>
          <t>C</t>
        </is>
      </c>
      <c r="E1552" s="8" t="inlineStr">
        <is>
          <t>Não</t>
        </is>
      </c>
      <c r="F1552" s="8" t="n">
        <v>32</v>
      </c>
      <c r="G1552" s="8" t="n">
        <v>13</v>
      </c>
      <c r="H1552" s="9">
        <f>IF(F1552=0,"",G1552/F1552)</f>
        <v/>
      </c>
    </row>
    <row r="1553">
      <c r="A1553" s="10" t="inlineStr">
        <is>
          <t>Simulado 02</t>
        </is>
      </c>
      <c r="B1553" s="11" t="n">
        <v>49</v>
      </c>
      <c r="C1553" s="11" t="inlineStr">
        <is>
          <t>7ª Fase</t>
        </is>
      </c>
      <c r="D1553" s="11" t="inlineStr">
        <is>
          <t>D</t>
        </is>
      </c>
      <c r="E1553" s="11" t="inlineStr">
        <is>
          <t>Não</t>
        </is>
      </c>
      <c r="F1553" s="11" t="n">
        <v>32</v>
      </c>
      <c r="G1553" s="11" t="n">
        <v>2</v>
      </c>
      <c r="H1553" s="12">
        <f>IF(F1553=0,"",G1553/F1553)</f>
        <v/>
      </c>
    </row>
    <row r="1554">
      <c r="A1554" s="7" t="inlineStr">
        <is>
          <t>Simulado 02</t>
        </is>
      </c>
      <c r="B1554" s="8" t="n">
        <v>49</v>
      </c>
      <c r="C1554" s="8" t="inlineStr">
        <is>
          <t>10ª Fase</t>
        </is>
      </c>
      <c r="D1554" s="8" t="inlineStr">
        <is>
          <t>A</t>
        </is>
      </c>
      <c r="E1554" s="8" t="inlineStr">
        <is>
          <t>Sim</t>
        </is>
      </c>
      <c r="F1554" s="8" t="n">
        <v>31</v>
      </c>
      <c r="G1554" s="8" t="n">
        <v>3</v>
      </c>
      <c r="H1554" s="9">
        <f>IF(F1554=0,"",G1554/F1554)</f>
        <v/>
      </c>
    </row>
    <row r="1555">
      <c r="A1555" s="10" t="inlineStr">
        <is>
          <t>Simulado 02</t>
        </is>
      </c>
      <c r="B1555" s="11" t="n">
        <v>49</v>
      </c>
      <c r="C1555" s="11" t="inlineStr">
        <is>
          <t>10ª Fase</t>
        </is>
      </c>
      <c r="D1555" s="11" t="inlineStr">
        <is>
          <t>B</t>
        </is>
      </c>
      <c r="E1555" s="11" t="inlineStr">
        <is>
          <t>Não</t>
        </is>
      </c>
      <c r="F1555" s="11" t="n">
        <v>31</v>
      </c>
      <c r="G1555" s="11" t="n">
        <v>14</v>
      </c>
      <c r="H1555" s="12">
        <f>IF(F1555=0,"",G1555/F1555)</f>
        <v/>
      </c>
    </row>
    <row r="1556">
      <c r="A1556" s="7" t="inlineStr">
        <is>
          <t>Simulado 02</t>
        </is>
      </c>
      <c r="B1556" s="8" t="n">
        <v>49</v>
      </c>
      <c r="C1556" s="8" t="inlineStr">
        <is>
          <t>10ª Fase</t>
        </is>
      </c>
      <c r="D1556" s="8" t="inlineStr">
        <is>
          <t>C</t>
        </is>
      </c>
      <c r="E1556" s="8" t="inlineStr">
        <is>
          <t>Não</t>
        </is>
      </c>
      <c r="F1556" s="8" t="n">
        <v>31</v>
      </c>
      <c r="G1556" s="8" t="n">
        <v>5</v>
      </c>
      <c r="H1556" s="9">
        <f>IF(F1556=0,"",G1556/F1556)</f>
        <v/>
      </c>
    </row>
    <row r="1557">
      <c r="A1557" s="10" t="inlineStr">
        <is>
          <t>Simulado 02</t>
        </is>
      </c>
      <c r="B1557" s="11" t="n">
        <v>49</v>
      </c>
      <c r="C1557" s="11" t="inlineStr">
        <is>
          <t>10ª Fase</t>
        </is>
      </c>
      <c r="D1557" s="11" t="inlineStr">
        <is>
          <t>D</t>
        </is>
      </c>
      <c r="E1557" s="11" t="inlineStr">
        <is>
          <t>Não</t>
        </is>
      </c>
      <c r="F1557" s="11" t="n">
        <v>31</v>
      </c>
      <c r="G1557" s="11" t="n">
        <v>9</v>
      </c>
      <c r="H1557" s="12">
        <f>IF(F1557=0,"",G1557/F1557)</f>
        <v/>
      </c>
    </row>
    <row r="1558">
      <c r="A1558" s="7" t="inlineStr">
        <is>
          <t>Simulado 02</t>
        </is>
      </c>
      <c r="B1558" s="8" t="n">
        <v>49</v>
      </c>
      <c r="C1558" s="8" t="inlineStr">
        <is>
          <t>11ª Fase</t>
        </is>
      </c>
      <c r="D1558" s="8" t="inlineStr">
        <is>
          <t>A</t>
        </is>
      </c>
      <c r="E1558" s="8" t="inlineStr">
        <is>
          <t>Sim</t>
        </is>
      </c>
      <c r="F1558" s="8" t="n">
        <v>29</v>
      </c>
      <c r="G1558" s="8" t="n">
        <v>3</v>
      </c>
      <c r="H1558" s="9">
        <f>IF(F1558=0,"",G1558/F1558)</f>
        <v/>
      </c>
    </row>
    <row r="1559">
      <c r="A1559" s="10" t="inlineStr">
        <is>
          <t>Simulado 02</t>
        </is>
      </c>
      <c r="B1559" s="11" t="n">
        <v>49</v>
      </c>
      <c r="C1559" s="11" t="inlineStr">
        <is>
          <t>11ª Fase</t>
        </is>
      </c>
      <c r="D1559" s="11" t="inlineStr">
        <is>
          <t>B</t>
        </is>
      </c>
      <c r="E1559" s="11" t="inlineStr">
        <is>
          <t>Não</t>
        </is>
      </c>
      <c r="F1559" s="11" t="n">
        <v>29</v>
      </c>
      <c r="G1559" s="11" t="n">
        <v>22</v>
      </c>
      <c r="H1559" s="12">
        <f>IF(F1559=0,"",G1559/F1559)</f>
        <v/>
      </c>
    </row>
    <row r="1560">
      <c r="A1560" s="7" t="inlineStr">
        <is>
          <t>Simulado 02</t>
        </is>
      </c>
      <c r="B1560" s="8" t="n">
        <v>49</v>
      </c>
      <c r="C1560" s="8" t="inlineStr">
        <is>
          <t>11ª Fase</t>
        </is>
      </c>
      <c r="D1560" s="8" t="inlineStr">
        <is>
          <t>C</t>
        </is>
      </c>
      <c r="E1560" s="8" t="inlineStr">
        <is>
          <t>Não</t>
        </is>
      </c>
      <c r="F1560" s="8" t="n">
        <v>29</v>
      </c>
      <c r="G1560" s="8" t="n">
        <v>4</v>
      </c>
      <c r="H1560" s="9">
        <f>IF(F1560=0,"",G1560/F1560)</f>
        <v/>
      </c>
    </row>
    <row r="1561">
      <c r="A1561" s="10" t="inlineStr">
        <is>
          <t>Simulado 02</t>
        </is>
      </c>
      <c r="B1561" s="11" t="n">
        <v>49</v>
      </c>
      <c r="C1561" s="11" t="inlineStr">
        <is>
          <t>11ª Fase</t>
        </is>
      </c>
      <c r="D1561" s="11" t="inlineStr">
        <is>
          <t>D</t>
        </is>
      </c>
      <c r="E1561" s="11" t="inlineStr">
        <is>
          <t>Não</t>
        </is>
      </c>
      <c r="F1561" s="11" t="n">
        <v>29</v>
      </c>
      <c r="G1561" s="11" t="n">
        <v>0</v>
      </c>
      <c r="H1561" s="12">
        <f>IF(F1561=0,"",G1561/F1561)</f>
        <v/>
      </c>
    </row>
    <row r="1562">
      <c r="A1562" s="7" t="inlineStr">
        <is>
          <t>Simulado 02</t>
        </is>
      </c>
      <c r="B1562" s="8" t="n">
        <v>50</v>
      </c>
      <c r="C1562" s="8" t="inlineStr">
        <is>
          <t>6ª Fase</t>
        </is>
      </c>
      <c r="D1562" s="8" t="inlineStr">
        <is>
          <t>A</t>
        </is>
      </c>
      <c r="E1562" s="8" t="inlineStr">
        <is>
          <t>Não</t>
        </is>
      </c>
      <c r="F1562" s="8" t="n">
        <v>28</v>
      </c>
      <c r="G1562" s="8" t="n">
        <v>8</v>
      </c>
      <c r="H1562" s="9">
        <f>IF(F1562=0,"",G1562/F1562)</f>
        <v/>
      </c>
    </row>
    <row r="1563">
      <c r="A1563" s="10" t="inlineStr">
        <is>
          <t>Simulado 02</t>
        </is>
      </c>
      <c r="B1563" s="11" t="n">
        <v>50</v>
      </c>
      <c r="C1563" s="11" t="inlineStr">
        <is>
          <t>6ª Fase</t>
        </is>
      </c>
      <c r="D1563" s="11" t="inlineStr">
        <is>
          <t>B</t>
        </is>
      </c>
      <c r="E1563" s="11" t="inlineStr">
        <is>
          <t>Não</t>
        </is>
      </c>
      <c r="F1563" s="11" t="n">
        <v>28</v>
      </c>
      <c r="G1563" s="11" t="n">
        <v>2</v>
      </c>
      <c r="H1563" s="12">
        <f>IF(F1563=0,"",G1563/F1563)</f>
        <v/>
      </c>
    </row>
    <row r="1564">
      <c r="A1564" s="7" t="inlineStr">
        <is>
          <t>Simulado 02</t>
        </is>
      </c>
      <c r="B1564" s="8" t="n">
        <v>50</v>
      </c>
      <c r="C1564" s="8" t="inlineStr">
        <is>
          <t>6ª Fase</t>
        </is>
      </c>
      <c r="D1564" s="8" t="inlineStr">
        <is>
          <t>C</t>
        </is>
      </c>
      <c r="E1564" s="8" t="inlineStr">
        <is>
          <t>Não</t>
        </is>
      </c>
      <c r="F1564" s="8" t="n">
        <v>28</v>
      </c>
      <c r="G1564" s="8" t="n">
        <v>7</v>
      </c>
      <c r="H1564" s="9">
        <f>IF(F1564=0,"",G1564/F1564)</f>
        <v/>
      </c>
    </row>
    <row r="1565">
      <c r="A1565" s="10" t="inlineStr">
        <is>
          <t>Simulado 02</t>
        </is>
      </c>
      <c r="B1565" s="11" t="n">
        <v>50</v>
      </c>
      <c r="C1565" s="11" t="inlineStr">
        <is>
          <t>6ª Fase</t>
        </is>
      </c>
      <c r="D1565" s="11" t="inlineStr">
        <is>
          <t>D</t>
        </is>
      </c>
      <c r="E1565" s="11" t="inlineStr">
        <is>
          <t>Sim</t>
        </is>
      </c>
      <c r="F1565" s="11" t="n">
        <v>28</v>
      </c>
      <c r="G1565" s="11" t="n">
        <v>11</v>
      </c>
      <c r="H1565" s="12">
        <f>IF(F1565=0,"",G1565/F1565)</f>
        <v/>
      </c>
    </row>
    <row r="1566">
      <c r="A1566" s="7" t="inlineStr">
        <is>
          <t>Simulado 02</t>
        </is>
      </c>
      <c r="B1566" s="8" t="n">
        <v>50</v>
      </c>
      <c r="C1566" s="8" t="inlineStr">
        <is>
          <t>7ª Fase</t>
        </is>
      </c>
      <c r="D1566" s="8" t="inlineStr">
        <is>
          <t>A</t>
        </is>
      </c>
      <c r="E1566" s="8" t="inlineStr">
        <is>
          <t>Não</t>
        </is>
      </c>
      <c r="F1566" s="8" t="n">
        <v>32</v>
      </c>
      <c r="G1566" s="8" t="n">
        <v>6</v>
      </c>
      <c r="H1566" s="9">
        <f>IF(F1566=0,"",G1566/F1566)</f>
        <v/>
      </c>
    </row>
    <row r="1567">
      <c r="A1567" s="10" t="inlineStr">
        <is>
          <t>Simulado 02</t>
        </is>
      </c>
      <c r="B1567" s="11" t="n">
        <v>50</v>
      </c>
      <c r="C1567" s="11" t="inlineStr">
        <is>
          <t>7ª Fase</t>
        </is>
      </c>
      <c r="D1567" s="11" t="inlineStr">
        <is>
          <t>B</t>
        </is>
      </c>
      <c r="E1567" s="11" t="inlineStr">
        <is>
          <t>Não</t>
        </is>
      </c>
      <c r="F1567" s="11" t="n">
        <v>32</v>
      </c>
      <c r="G1567" s="11" t="n">
        <v>1</v>
      </c>
      <c r="H1567" s="12">
        <f>IF(F1567=0,"",G1567/F1567)</f>
        <v/>
      </c>
    </row>
    <row r="1568">
      <c r="A1568" s="7" t="inlineStr">
        <is>
          <t>Simulado 02</t>
        </is>
      </c>
      <c r="B1568" s="8" t="n">
        <v>50</v>
      </c>
      <c r="C1568" s="8" t="inlineStr">
        <is>
          <t>7ª Fase</t>
        </is>
      </c>
      <c r="D1568" s="8" t="inlineStr">
        <is>
          <t>C</t>
        </is>
      </c>
      <c r="E1568" s="8" t="inlineStr">
        <is>
          <t>Não</t>
        </is>
      </c>
      <c r="F1568" s="8" t="n">
        <v>32</v>
      </c>
      <c r="G1568" s="8" t="n">
        <v>5</v>
      </c>
      <c r="H1568" s="9">
        <f>IF(F1568=0,"",G1568/F1568)</f>
        <v/>
      </c>
    </row>
    <row r="1569">
      <c r="A1569" s="10" t="inlineStr">
        <is>
          <t>Simulado 02</t>
        </is>
      </c>
      <c r="B1569" s="11" t="n">
        <v>50</v>
      </c>
      <c r="C1569" s="11" t="inlineStr">
        <is>
          <t>7ª Fase</t>
        </is>
      </c>
      <c r="D1569" s="11" t="inlineStr">
        <is>
          <t>D</t>
        </is>
      </c>
      <c r="E1569" s="11" t="inlineStr">
        <is>
          <t>Sim</t>
        </is>
      </c>
      <c r="F1569" s="11" t="n">
        <v>32</v>
      </c>
      <c r="G1569" s="11" t="n">
        <v>20</v>
      </c>
      <c r="H1569" s="12">
        <f>IF(F1569=0,"",G1569/F1569)</f>
        <v/>
      </c>
    </row>
    <row r="1570">
      <c r="A1570" s="7" t="inlineStr">
        <is>
          <t>Simulado 02</t>
        </is>
      </c>
      <c r="B1570" s="8" t="n">
        <v>50</v>
      </c>
      <c r="C1570" s="8" t="inlineStr">
        <is>
          <t>10ª Fase</t>
        </is>
      </c>
      <c r="D1570" s="8" t="inlineStr">
        <is>
          <t>A</t>
        </is>
      </c>
      <c r="E1570" s="8" t="inlineStr">
        <is>
          <t>Não</t>
        </is>
      </c>
      <c r="F1570" s="8" t="n">
        <v>31</v>
      </c>
      <c r="G1570" s="8" t="n">
        <v>5</v>
      </c>
      <c r="H1570" s="9">
        <f>IF(F1570=0,"",G1570/F1570)</f>
        <v/>
      </c>
    </row>
    <row r="1571">
      <c r="A1571" s="10" t="inlineStr">
        <is>
          <t>Simulado 02</t>
        </is>
      </c>
      <c r="B1571" s="11" t="n">
        <v>50</v>
      </c>
      <c r="C1571" s="11" t="inlineStr">
        <is>
          <t>10ª Fase</t>
        </is>
      </c>
      <c r="D1571" s="11" t="inlineStr">
        <is>
          <t>B</t>
        </is>
      </c>
      <c r="E1571" s="11" t="inlineStr">
        <is>
          <t>Não</t>
        </is>
      </c>
      <c r="F1571" s="11" t="n">
        <v>31</v>
      </c>
      <c r="G1571" s="11" t="n">
        <v>0</v>
      </c>
      <c r="H1571" s="12">
        <f>IF(F1571=0,"",G1571/F1571)</f>
        <v/>
      </c>
    </row>
    <row r="1572">
      <c r="A1572" s="7" t="inlineStr">
        <is>
          <t>Simulado 02</t>
        </is>
      </c>
      <c r="B1572" s="8" t="n">
        <v>50</v>
      </c>
      <c r="C1572" s="8" t="inlineStr">
        <is>
          <t>10ª Fase</t>
        </is>
      </c>
      <c r="D1572" s="8" t="inlineStr">
        <is>
          <t>C</t>
        </is>
      </c>
      <c r="E1572" s="8" t="inlineStr">
        <is>
          <t>Não</t>
        </is>
      </c>
      <c r="F1572" s="8" t="n">
        <v>31</v>
      </c>
      <c r="G1572" s="8" t="n">
        <v>4</v>
      </c>
      <c r="H1572" s="9">
        <f>IF(F1572=0,"",G1572/F1572)</f>
        <v/>
      </c>
    </row>
    <row r="1573">
      <c r="A1573" s="10" t="inlineStr">
        <is>
          <t>Simulado 02</t>
        </is>
      </c>
      <c r="B1573" s="11" t="n">
        <v>50</v>
      </c>
      <c r="C1573" s="11" t="inlineStr">
        <is>
          <t>10ª Fase</t>
        </is>
      </c>
      <c r="D1573" s="11" t="inlineStr">
        <is>
          <t>D</t>
        </is>
      </c>
      <c r="E1573" s="11" t="inlineStr">
        <is>
          <t>Sim</t>
        </is>
      </c>
      <c r="F1573" s="11" t="n">
        <v>31</v>
      </c>
      <c r="G1573" s="11" t="n">
        <v>22</v>
      </c>
      <c r="H1573" s="12">
        <f>IF(F1573=0,"",G1573/F1573)</f>
        <v/>
      </c>
    </row>
    <row r="1574">
      <c r="A1574" s="7" t="inlineStr">
        <is>
          <t>Simulado 02</t>
        </is>
      </c>
      <c r="B1574" s="8" t="n">
        <v>50</v>
      </c>
      <c r="C1574" s="8" t="inlineStr">
        <is>
          <t>11ª Fase</t>
        </is>
      </c>
      <c r="D1574" s="8" t="inlineStr">
        <is>
          <t>A</t>
        </is>
      </c>
      <c r="E1574" s="8" t="inlineStr">
        <is>
          <t>Não</t>
        </is>
      </c>
      <c r="F1574" s="8" t="n">
        <v>29</v>
      </c>
      <c r="G1574" s="8" t="n">
        <v>3</v>
      </c>
      <c r="H1574" s="9">
        <f>IF(F1574=0,"",G1574/F1574)</f>
        <v/>
      </c>
    </row>
    <row r="1575">
      <c r="A1575" s="10" t="inlineStr">
        <is>
          <t>Simulado 02</t>
        </is>
      </c>
      <c r="B1575" s="11" t="n">
        <v>50</v>
      </c>
      <c r="C1575" s="11" t="inlineStr">
        <is>
          <t>11ª Fase</t>
        </is>
      </c>
      <c r="D1575" s="11" t="inlineStr">
        <is>
          <t>B</t>
        </is>
      </c>
      <c r="E1575" s="11" t="inlineStr">
        <is>
          <t>Não</t>
        </is>
      </c>
      <c r="F1575" s="11" t="n">
        <v>29</v>
      </c>
      <c r="G1575" s="11" t="n">
        <v>0</v>
      </c>
      <c r="H1575" s="12">
        <f>IF(F1575=0,"",G1575/F1575)</f>
        <v/>
      </c>
    </row>
    <row r="1576">
      <c r="A1576" s="7" t="inlineStr">
        <is>
          <t>Simulado 02</t>
        </is>
      </c>
      <c r="B1576" s="8" t="n">
        <v>50</v>
      </c>
      <c r="C1576" s="8" t="inlineStr">
        <is>
          <t>11ª Fase</t>
        </is>
      </c>
      <c r="D1576" s="8" t="inlineStr">
        <is>
          <t>C</t>
        </is>
      </c>
      <c r="E1576" s="8" t="inlineStr">
        <is>
          <t>Não</t>
        </is>
      </c>
      <c r="F1576" s="8" t="n">
        <v>29</v>
      </c>
      <c r="G1576" s="8" t="n">
        <v>1</v>
      </c>
      <c r="H1576" s="9">
        <f>IF(F1576=0,"",G1576/F1576)</f>
        <v/>
      </c>
    </row>
    <row r="1577">
      <c r="A1577" s="10" t="inlineStr">
        <is>
          <t>Simulado 02</t>
        </is>
      </c>
      <c r="B1577" s="11" t="n">
        <v>50</v>
      </c>
      <c r="C1577" s="11" t="inlineStr">
        <is>
          <t>11ª Fase</t>
        </is>
      </c>
      <c r="D1577" s="11" t="inlineStr">
        <is>
          <t>D</t>
        </is>
      </c>
      <c r="E1577" s="11" t="inlineStr">
        <is>
          <t>Sim</t>
        </is>
      </c>
      <c r="F1577" s="11" t="n">
        <v>29</v>
      </c>
      <c r="G1577" s="11" t="n">
        <v>25</v>
      </c>
      <c r="H1577" s="12">
        <f>IF(F1577=0,"",G1577/F1577)</f>
        <v/>
      </c>
    </row>
    <row r="1578">
      <c r="A1578" s="7" t="inlineStr">
        <is>
          <t>Simulado 02</t>
        </is>
      </c>
      <c r="B1578" s="8" t="n">
        <v>51</v>
      </c>
      <c r="C1578" s="8" t="inlineStr">
        <is>
          <t>6ª Fase</t>
        </is>
      </c>
      <c r="D1578" s="8" t="inlineStr">
        <is>
          <t>A</t>
        </is>
      </c>
      <c r="E1578" s="8" t="inlineStr">
        <is>
          <t>Não</t>
        </is>
      </c>
      <c r="F1578" s="8" t="n">
        <v>28</v>
      </c>
      <c r="G1578" s="8" t="n">
        <v>7</v>
      </c>
      <c r="H1578" s="9">
        <f>IF(F1578=0,"",G1578/F1578)</f>
        <v/>
      </c>
    </row>
    <row r="1579">
      <c r="A1579" s="10" t="inlineStr">
        <is>
          <t>Simulado 02</t>
        </is>
      </c>
      <c r="B1579" s="11" t="n">
        <v>51</v>
      </c>
      <c r="C1579" s="11" t="inlineStr">
        <is>
          <t>6ª Fase</t>
        </is>
      </c>
      <c r="D1579" s="11" t="inlineStr">
        <is>
          <t>B</t>
        </is>
      </c>
      <c r="E1579" s="11" t="inlineStr">
        <is>
          <t>Não</t>
        </is>
      </c>
      <c r="F1579" s="11" t="n">
        <v>28</v>
      </c>
      <c r="G1579" s="11" t="n">
        <v>0</v>
      </c>
      <c r="H1579" s="12">
        <f>IF(F1579=0,"",G1579/F1579)</f>
        <v/>
      </c>
    </row>
    <row r="1580">
      <c r="A1580" s="7" t="inlineStr">
        <is>
          <t>Simulado 02</t>
        </is>
      </c>
      <c r="B1580" s="8" t="n">
        <v>51</v>
      </c>
      <c r="C1580" s="8" t="inlineStr">
        <is>
          <t>6ª Fase</t>
        </is>
      </c>
      <c r="D1580" s="8" t="inlineStr">
        <is>
          <t>C</t>
        </is>
      </c>
      <c r="E1580" s="8" t="inlineStr">
        <is>
          <t>Sim</t>
        </is>
      </c>
      <c r="F1580" s="8" t="n">
        <v>28</v>
      </c>
      <c r="G1580" s="8" t="n">
        <v>10</v>
      </c>
      <c r="H1580" s="9">
        <f>IF(F1580=0,"",G1580/F1580)</f>
        <v/>
      </c>
    </row>
    <row r="1581">
      <c r="A1581" s="10" t="inlineStr">
        <is>
          <t>Simulado 02</t>
        </is>
      </c>
      <c r="B1581" s="11" t="n">
        <v>51</v>
      </c>
      <c r="C1581" s="11" t="inlineStr">
        <is>
          <t>6ª Fase</t>
        </is>
      </c>
      <c r="D1581" s="11" t="inlineStr">
        <is>
          <t>D</t>
        </is>
      </c>
      <c r="E1581" s="11" t="inlineStr">
        <is>
          <t>Não</t>
        </is>
      </c>
      <c r="F1581" s="11" t="n">
        <v>28</v>
      </c>
      <c r="G1581" s="11" t="n">
        <v>2</v>
      </c>
      <c r="H1581" s="12">
        <f>IF(F1581=0,"",G1581/F1581)</f>
        <v/>
      </c>
    </row>
    <row r="1582">
      <c r="A1582" s="7" t="inlineStr">
        <is>
          <t>Simulado 02</t>
        </is>
      </c>
      <c r="B1582" s="8" t="n">
        <v>51</v>
      </c>
      <c r="C1582" s="8" t="inlineStr">
        <is>
          <t>6ª Fase</t>
        </is>
      </c>
      <c r="D1582" s="8" t="inlineStr">
        <is>
          <t>E</t>
        </is>
      </c>
      <c r="E1582" s="8" t="inlineStr">
        <is>
          <t>Não</t>
        </is>
      </c>
      <c r="F1582" s="8" t="n">
        <v>28</v>
      </c>
      <c r="G1582" s="8" t="n">
        <v>9</v>
      </c>
      <c r="H1582" s="9">
        <f>IF(F1582=0,"",G1582/F1582)</f>
        <v/>
      </c>
    </row>
    <row r="1583">
      <c r="A1583" s="10" t="inlineStr">
        <is>
          <t>Simulado 02</t>
        </is>
      </c>
      <c r="B1583" s="11" t="n">
        <v>51</v>
      </c>
      <c r="C1583" s="11" t="inlineStr">
        <is>
          <t>7ª Fase</t>
        </is>
      </c>
      <c r="D1583" s="11" t="inlineStr">
        <is>
          <t>A</t>
        </is>
      </c>
      <c r="E1583" s="11" t="inlineStr">
        <is>
          <t>Não</t>
        </is>
      </c>
      <c r="F1583" s="11" t="n">
        <v>32</v>
      </c>
      <c r="G1583" s="11" t="n">
        <v>6</v>
      </c>
      <c r="H1583" s="12">
        <f>IF(F1583=0,"",G1583/F1583)</f>
        <v/>
      </c>
    </row>
    <row r="1584">
      <c r="A1584" s="7" t="inlineStr">
        <is>
          <t>Simulado 02</t>
        </is>
      </c>
      <c r="B1584" s="8" t="n">
        <v>51</v>
      </c>
      <c r="C1584" s="8" t="inlineStr">
        <is>
          <t>7ª Fase</t>
        </is>
      </c>
      <c r="D1584" s="8" t="inlineStr">
        <is>
          <t>B</t>
        </is>
      </c>
      <c r="E1584" s="8" t="inlineStr">
        <is>
          <t>Não</t>
        </is>
      </c>
      <c r="F1584" s="8" t="n">
        <v>32</v>
      </c>
      <c r="G1584" s="8" t="n">
        <v>3</v>
      </c>
      <c r="H1584" s="9">
        <f>IF(F1584=0,"",G1584/F1584)</f>
        <v/>
      </c>
    </row>
    <row r="1585">
      <c r="A1585" s="10" t="inlineStr">
        <is>
          <t>Simulado 02</t>
        </is>
      </c>
      <c r="B1585" s="11" t="n">
        <v>51</v>
      </c>
      <c r="C1585" s="11" t="inlineStr">
        <is>
          <t>7ª Fase</t>
        </is>
      </c>
      <c r="D1585" s="11" t="inlineStr">
        <is>
          <t>C</t>
        </is>
      </c>
      <c r="E1585" s="11" t="inlineStr">
        <is>
          <t>Sim</t>
        </is>
      </c>
      <c r="F1585" s="11" t="n">
        <v>32</v>
      </c>
      <c r="G1585" s="11" t="n">
        <v>11</v>
      </c>
      <c r="H1585" s="12">
        <f>IF(F1585=0,"",G1585/F1585)</f>
        <v/>
      </c>
    </row>
    <row r="1586">
      <c r="A1586" s="7" t="inlineStr">
        <is>
          <t>Simulado 02</t>
        </is>
      </c>
      <c r="B1586" s="8" t="n">
        <v>51</v>
      </c>
      <c r="C1586" s="8" t="inlineStr">
        <is>
          <t>7ª Fase</t>
        </is>
      </c>
      <c r="D1586" s="8" t="inlineStr">
        <is>
          <t>D</t>
        </is>
      </c>
      <c r="E1586" s="8" t="inlineStr">
        <is>
          <t>Não</t>
        </is>
      </c>
      <c r="F1586" s="8" t="n">
        <v>32</v>
      </c>
      <c r="G1586" s="8" t="n">
        <v>1</v>
      </c>
      <c r="H1586" s="9">
        <f>IF(F1586=0,"",G1586/F1586)</f>
        <v/>
      </c>
    </row>
    <row r="1587">
      <c r="A1587" s="10" t="inlineStr">
        <is>
          <t>Simulado 02</t>
        </is>
      </c>
      <c r="B1587" s="11" t="n">
        <v>51</v>
      </c>
      <c r="C1587" s="11" t="inlineStr">
        <is>
          <t>7ª Fase</t>
        </is>
      </c>
      <c r="D1587" s="11" t="inlineStr">
        <is>
          <t>E</t>
        </is>
      </c>
      <c r="E1587" s="11" t="inlineStr">
        <is>
          <t>Não</t>
        </is>
      </c>
      <c r="F1587" s="11" t="n">
        <v>32</v>
      </c>
      <c r="G1587" s="11" t="n">
        <v>11</v>
      </c>
      <c r="H1587" s="12">
        <f>IF(F1587=0,"",G1587/F1587)</f>
        <v/>
      </c>
    </row>
    <row r="1588">
      <c r="A1588" s="7" t="inlineStr">
        <is>
          <t>Simulado 02</t>
        </is>
      </c>
      <c r="B1588" s="8" t="n">
        <v>51</v>
      </c>
      <c r="C1588" s="8" t="inlineStr">
        <is>
          <t>10ª Fase</t>
        </is>
      </c>
      <c r="D1588" s="8" t="inlineStr">
        <is>
          <t>A</t>
        </is>
      </c>
      <c r="E1588" s="8" t="inlineStr">
        <is>
          <t>Não</t>
        </is>
      </c>
      <c r="F1588" s="8" t="n">
        <v>31</v>
      </c>
      <c r="G1588" s="8" t="n">
        <v>6</v>
      </c>
      <c r="H1588" s="9">
        <f>IF(F1588=0,"",G1588/F1588)</f>
        <v/>
      </c>
    </row>
    <row r="1589">
      <c r="A1589" s="10" t="inlineStr">
        <is>
          <t>Simulado 02</t>
        </is>
      </c>
      <c r="B1589" s="11" t="n">
        <v>51</v>
      </c>
      <c r="C1589" s="11" t="inlineStr">
        <is>
          <t>10ª Fase</t>
        </is>
      </c>
      <c r="D1589" s="11" t="inlineStr">
        <is>
          <t>B</t>
        </is>
      </c>
      <c r="E1589" s="11" t="inlineStr">
        <is>
          <t>Não</t>
        </is>
      </c>
      <c r="F1589" s="11" t="n">
        <v>31</v>
      </c>
      <c r="G1589" s="11" t="n">
        <v>1</v>
      </c>
      <c r="H1589" s="12">
        <f>IF(F1589=0,"",G1589/F1589)</f>
        <v/>
      </c>
    </row>
    <row r="1590">
      <c r="A1590" s="7" t="inlineStr">
        <is>
          <t>Simulado 02</t>
        </is>
      </c>
      <c r="B1590" s="8" t="n">
        <v>51</v>
      </c>
      <c r="C1590" s="8" t="inlineStr">
        <is>
          <t>10ª Fase</t>
        </is>
      </c>
      <c r="D1590" s="8" t="inlineStr">
        <is>
          <t>C</t>
        </is>
      </c>
      <c r="E1590" s="8" t="inlineStr">
        <is>
          <t>Sim</t>
        </is>
      </c>
      <c r="F1590" s="8" t="n">
        <v>31</v>
      </c>
      <c r="G1590" s="8" t="n">
        <v>12</v>
      </c>
      <c r="H1590" s="9">
        <f>IF(F1590=0,"",G1590/F1590)</f>
        <v/>
      </c>
    </row>
    <row r="1591">
      <c r="A1591" s="10" t="inlineStr">
        <is>
          <t>Simulado 02</t>
        </is>
      </c>
      <c r="B1591" s="11" t="n">
        <v>51</v>
      </c>
      <c r="C1591" s="11" t="inlineStr">
        <is>
          <t>10ª Fase</t>
        </is>
      </c>
      <c r="D1591" s="11" t="inlineStr">
        <is>
          <t>D</t>
        </is>
      </c>
      <c r="E1591" s="11" t="inlineStr">
        <is>
          <t>Não</t>
        </is>
      </c>
      <c r="F1591" s="11" t="n">
        <v>31</v>
      </c>
      <c r="G1591" s="11" t="n">
        <v>7</v>
      </c>
      <c r="H1591" s="12">
        <f>IF(F1591=0,"",G1591/F1591)</f>
        <v/>
      </c>
    </row>
    <row r="1592">
      <c r="A1592" s="7" t="inlineStr">
        <is>
          <t>Simulado 02</t>
        </is>
      </c>
      <c r="B1592" s="8" t="n">
        <v>51</v>
      </c>
      <c r="C1592" s="8" t="inlineStr">
        <is>
          <t>10ª Fase</t>
        </is>
      </c>
      <c r="D1592" s="8" t="inlineStr">
        <is>
          <t>E</t>
        </is>
      </c>
      <c r="E1592" s="8" t="inlineStr">
        <is>
          <t>Não</t>
        </is>
      </c>
      <c r="F1592" s="8" t="n">
        <v>31</v>
      </c>
      <c r="G1592" s="8" t="n">
        <v>5</v>
      </c>
      <c r="H1592" s="9">
        <f>IF(F1592=0,"",G1592/F1592)</f>
        <v/>
      </c>
    </row>
    <row r="1593">
      <c r="A1593" s="10" t="inlineStr">
        <is>
          <t>Simulado 02</t>
        </is>
      </c>
      <c r="B1593" s="11" t="n">
        <v>51</v>
      </c>
      <c r="C1593" s="11" t="inlineStr">
        <is>
          <t>11ª Fase</t>
        </is>
      </c>
      <c r="D1593" s="11" t="inlineStr">
        <is>
          <t>A</t>
        </is>
      </c>
      <c r="E1593" s="11" t="inlineStr">
        <is>
          <t>Não</t>
        </is>
      </c>
      <c r="F1593" s="11" t="n">
        <v>29</v>
      </c>
      <c r="G1593" s="11" t="n">
        <v>9</v>
      </c>
      <c r="H1593" s="12">
        <f>IF(F1593=0,"",G1593/F1593)</f>
        <v/>
      </c>
    </row>
    <row r="1594">
      <c r="A1594" s="7" t="inlineStr">
        <is>
          <t>Simulado 02</t>
        </is>
      </c>
      <c r="B1594" s="8" t="n">
        <v>51</v>
      </c>
      <c r="C1594" s="8" t="inlineStr">
        <is>
          <t>11ª Fase</t>
        </is>
      </c>
      <c r="D1594" s="8" t="inlineStr">
        <is>
          <t>B</t>
        </is>
      </c>
      <c r="E1594" s="8" t="inlineStr">
        <is>
          <t>Não</t>
        </is>
      </c>
      <c r="F1594" s="8" t="n">
        <v>29</v>
      </c>
      <c r="G1594" s="8" t="n">
        <v>0</v>
      </c>
      <c r="H1594" s="9">
        <f>IF(F1594=0,"",G1594/F1594)</f>
        <v/>
      </c>
    </row>
    <row r="1595">
      <c r="A1595" s="10" t="inlineStr">
        <is>
          <t>Simulado 02</t>
        </is>
      </c>
      <c r="B1595" s="11" t="n">
        <v>51</v>
      </c>
      <c r="C1595" s="11" t="inlineStr">
        <is>
          <t>11ª Fase</t>
        </is>
      </c>
      <c r="D1595" s="11" t="inlineStr">
        <is>
          <t>C</t>
        </is>
      </c>
      <c r="E1595" s="11" t="inlineStr">
        <is>
          <t>Sim</t>
        </is>
      </c>
      <c r="F1595" s="11" t="n">
        <v>29</v>
      </c>
      <c r="G1595" s="11" t="n">
        <v>8</v>
      </c>
      <c r="H1595" s="12">
        <f>IF(F1595=0,"",G1595/F1595)</f>
        <v/>
      </c>
    </row>
    <row r="1596">
      <c r="A1596" s="7" t="inlineStr">
        <is>
          <t>Simulado 02</t>
        </is>
      </c>
      <c r="B1596" s="8" t="n">
        <v>51</v>
      </c>
      <c r="C1596" s="8" t="inlineStr">
        <is>
          <t>11ª Fase</t>
        </is>
      </c>
      <c r="D1596" s="8" t="inlineStr">
        <is>
          <t>D</t>
        </is>
      </c>
      <c r="E1596" s="8" t="inlineStr">
        <is>
          <t>Não</t>
        </is>
      </c>
      <c r="F1596" s="8" t="n">
        <v>29</v>
      </c>
      <c r="G1596" s="8" t="n">
        <v>3</v>
      </c>
      <c r="H1596" s="9">
        <f>IF(F1596=0,"",G1596/F1596)</f>
        <v/>
      </c>
    </row>
    <row r="1597">
      <c r="A1597" s="10" t="inlineStr">
        <is>
          <t>Simulado 02</t>
        </is>
      </c>
      <c r="B1597" s="11" t="n">
        <v>51</v>
      </c>
      <c r="C1597" s="11" t="inlineStr">
        <is>
          <t>11ª Fase</t>
        </is>
      </c>
      <c r="D1597" s="11" t="inlineStr">
        <is>
          <t>E</t>
        </is>
      </c>
      <c r="E1597" s="11" t="inlineStr">
        <is>
          <t>Não</t>
        </is>
      </c>
      <c r="F1597" s="11" t="n">
        <v>29</v>
      </c>
      <c r="G1597" s="11" t="n">
        <v>9</v>
      </c>
      <c r="H1597" s="12">
        <f>IF(F1597=0,"",G1597/F1597)</f>
        <v/>
      </c>
    </row>
    <row r="1598">
      <c r="A1598" s="7" t="inlineStr">
        <is>
          <t>Simulado 02</t>
        </is>
      </c>
      <c r="B1598" s="8" t="n">
        <v>52</v>
      </c>
      <c r="C1598" s="8" t="inlineStr">
        <is>
          <t>6ª Fase</t>
        </is>
      </c>
      <c r="D1598" s="8" t="inlineStr">
        <is>
          <t>A</t>
        </is>
      </c>
      <c r="E1598" s="8" t="inlineStr">
        <is>
          <t>Não</t>
        </is>
      </c>
      <c r="F1598" s="8" t="n">
        <v>28</v>
      </c>
      <c r="G1598" s="8" t="n">
        <v>1</v>
      </c>
      <c r="H1598" s="9">
        <f>IF(F1598=0,"",G1598/F1598)</f>
        <v/>
      </c>
    </row>
    <row r="1599">
      <c r="A1599" s="10" t="inlineStr">
        <is>
          <t>Simulado 02</t>
        </is>
      </c>
      <c r="B1599" s="11" t="n">
        <v>52</v>
      </c>
      <c r="C1599" s="11" t="inlineStr">
        <is>
          <t>6ª Fase</t>
        </is>
      </c>
      <c r="D1599" s="11" t="inlineStr">
        <is>
          <t>B</t>
        </is>
      </c>
      <c r="E1599" s="11" t="inlineStr">
        <is>
          <t>Não</t>
        </is>
      </c>
      <c r="F1599" s="11" t="n">
        <v>28</v>
      </c>
      <c r="G1599" s="11" t="n">
        <v>0</v>
      </c>
      <c r="H1599" s="12">
        <f>IF(F1599=0,"",G1599/F1599)</f>
        <v/>
      </c>
    </row>
    <row r="1600">
      <c r="A1600" s="7" t="inlineStr">
        <is>
          <t>Simulado 02</t>
        </is>
      </c>
      <c r="B1600" s="8" t="n">
        <v>52</v>
      </c>
      <c r="C1600" s="8" t="inlineStr">
        <is>
          <t>6ª Fase</t>
        </is>
      </c>
      <c r="D1600" s="8" t="inlineStr">
        <is>
          <t>C</t>
        </is>
      </c>
      <c r="E1600" s="8" t="inlineStr">
        <is>
          <t>Sim</t>
        </is>
      </c>
      <c r="F1600" s="8" t="n">
        <v>28</v>
      </c>
      <c r="G1600" s="8" t="n">
        <v>27</v>
      </c>
      <c r="H1600" s="9">
        <f>IF(F1600=0,"",G1600/F1600)</f>
        <v/>
      </c>
    </row>
    <row r="1601">
      <c r="A1601" s="10" t="inlineStr">
        <is>
          <t>Simulado 02</t>
        </is>
      </c>
      <c r="B1601" s="11" t="n">
        <v>52</v>
      </c>
      <c r="C1601" s="11" t="inlineStr">
        <is>
          <t>6ª Fase</t>
        </is>
      </c>
      <c r="D1601" s="11" t="inlineStr">
        <is>
          <t>D</t>
        </is>
      </c>
      <c r="E1601" s="11" t="inlineStr">
        <is>
          <t>Não</t>
        </is>
      </c>
      <c r="F1601" s="11" t="n">
        <v>28</v>
      </c>
      <c r="G1601" s="11" t="n">
        <v>0</v>
      </c>
      <c r="H1601" s="12">
        <f>IF(F1601=0,"",G1601/F1601)</f>
        <v/>
      </c>
    </row>
    <row r="1602">
      <c r="A1602" s="7" t="inlineStr">
        <is>
          <t>Simulado 02</t>
        </is>
      </c>
      <c r="B1602" s="8" t="n">
        <v>52</v>
      </c>
      <c r="C1602" s="8" t="inlineStr">
        <is>
          <t>6ª Fase</t>
        </is>
      </c>
      <c r="D1602" s="8" t="inlineStr">
        <is>
          <t>E</t>
        </is>
      </c>
      <c r="E1602" s="8" t="inlineStr">
        <is>
          <t>Não</t>
        </is>
      </c>
      <c r="F1602" s="8" t="n">
        <v>28</v>
      </c>
      <c r="G1602" s="8" t="n">
        <v>0</v>
      </c>
      <c r="H1602" s="9">
        <f>IF(F1602=0,"",G1602/F1602)</f>
        <v/>
      </c>
    </row>
    <row r="1603">
      <c r="A1603" s="10" t="inlineStr">
        <is>
          <t>Simulado 02</t>
        </is>
      </c>
      <c r="B1603" s="11" t="n">
        <v>52</v>
      </c>
      <c r="C1603" s="11" t="inlineStr">
        <is>
          <t>7ª Fase</t>
        </is>
      </c>
      <c r="D1603" s="11" t="inlineStr">
        <is>
          <t>A</t>
        </is>
      </c>
      <c r="E1603" s="11" t="inlineStr">
        <is>
          <t>Não</t>
        </is>
      </c>
      <c r="F1603" s="11" t="n">
        <v>32</v>
      </c>
      <c r="G1603" s="11" t="n">
        <v>0</v>
      </c>
      <c r="H1603" s="12">
        <f>IF(F1603=0,"",G1603/F1603)</f>
        <v/>
      </c>
    </row>
    <row r="1604">
      <c r="A1604" s="7" t="inlineStr">
        <is>
          <t>Simulado 02</t>
        </is>
      </c>
      <c r="B1604" s="8" t="n">
        <v>52</v>
      </c>
      <c r="C1604" s="8" t="inlineStr">
        <is>
          <t>7ª Fase</t>
        </is>
      </c>
      <c r="D1604" s="8" t="inlineStr">
        <is>
          <t>B</t>
        </is>
      </c>
      <c r="E1604" s="8" t="inlineStr">
        <is>
          <t>Não</t>
        </is>
      </c>
      <c r="F1604" s="8" t="n">
        <v>32</v>
      </c>
      <c r="G1604" s="8" t="n">
        <v>0</v>
      </c>
      <c r="H1604" s="9">
        <f>IF(F1604=0,"",G1604/F1604)</f>
        <v/>
      </c>
    </row>
    <row r="1605">
      <c r="A1605" s="10" t="inlineStr">
        <is>
          <t>Simulado 02</t>
        </is>
      </c>
      <c r="B1605" s="11" t="n">
        <v>52</v>
      </c>
      <c r="C1605" s="11" t="inlineStr">
        <is>
          <t>7ª Fase</t>
        </is>
      </c>
      <c r="D1605" s="11" t="inlineStr">
        <is>
          <t>C</t>
        </is>
      </c>
      <c r="E1605" s="11" t="inlineStr">
        <is>
          <t>Sim</t>
        </is>
      </c>
      <c r="F1605" s="11" t="n">
        <v>32</v>
      </c>
      <c r="G1605" s="11" t="n">
        <v>29</v>
      </c>
      <c r="H1605" s="12">
        <f>IF(F1605=0,"",G1605/F1605)</f>
        <v/>
      </c>
    </row>
    <row r="1606">
      <c r="A1606" s="7" t="inlineStr">
        <is>
          <t>Simulado 02</t>
        </is>
      </c>
      <c r="B1606" s="8" t="n">
        <v>52</v>
      </c>
      <c r="C1606" s="8" t="inlineStr">
        <is>
          <t>7ª Fase</t>
        </is>
      </c>
      <c r="D1606" s="8" t="inlineStr">
        <is>
          <t>D</t>
        </is>
      </c>
      <c r="E1606" s="8" t="inlineStr">
        <is>
          <t>Não</t>
        </is>
      </c>
      <c r="F1606" s="8" t="n">
        <v>32</v>
      </c>
      <c r="G1606" s="8" t="n">
        <v>2</v>
      </c>
      <c r="H1606" s="9">
        <f>IF(F1606=0,"",G1606/F1606)</f>
        <v/>
      </c>
    </row>
    <row r="1607">
      <c r="A1607" s="10" t="inlineStr">
        <is>
          <t>Simulado 02</t>
        </is>
      </c>
      <c r="B1607" s="11" t="n">
        <v>52</v>
      </c>
      <c r="C1607" s="11" t="inlineStr">
        <is>
          <t>7ª Fase</t>
        </is>
      </c>
      <c r="D1607" s="11" t="inlineStr">
        <is>
          <t>E</t>
        </is>
      </c>
      <c r="E1607" s="11" t="inlineStr">
        <is>
          <t>Não</t>
        </is>
      </c>
      <c r="F1607" s="11" t="n">
        <v>32</v>
      </c>
      <c r="G1607" s="11" t="n">
        <v>1</v>
      </c>
      <c r="H1607" s="12">
        <f>IF(F1607=0,"",G1607/F1607)</f>
        <v/>
      </c>
    </row>
    <row r="1608">
      <c r="A1608" s="7" t="inlineStr">
        <is>
          <t>Simulado 02</t>
        </is>
      </c>
      <c r="B1608" s="8" t="n">
        <v>52</v>
      </c>
      <c r="C1608" s="8" t="inlineStr">
        <is>
          <t>10ª Fase</t>
        </is>
      </c>
      <c r="D1608" s="8" t="inlineStr">
        <is>
          <t>A</t>
        </is>
      </c>
      <c r="E1608" s="8" t="inlineStr">
        <is>
          <t>Não</t>
        </is>
      </c>
      <c r="F1608" s="8" t="n">
        <v>31</v>
      </c>
      <c r="G1608" s="8" t="n">
        <v>0</v>
      </c>
      <c r="H1608" s="9">
        <f>IF(F1608=0,"",G1608/F1608)</f>
        <v/>
      </c>
    </row>
    <row r="1609">
      <c r="A1609" s="10" t="inlineStr">
        <is>
          <t>Simulado 02</t>
        </is>
      </c>
      <c r="B1609" s="11" t="n">
        <v>52</v>
      </c>
      <c r="C1609" s="11" t="inlineStr">
        <is>
          <t>10ª Fase</t>
        </is>
      </c>
      <c r="D1609" s="11" t="inlineStr">
        <is>
          <t>B</t>
        </is>
      </c>
      <c r="E1609" s="11" t="inlineStr">
        <is>
          <t>Não</t>
        </is>
      </c>
      <c r="F1609" s="11" t="n">
        <v>31</v>
      </c>
      <c r="G1609" s="11" t="n">
        <v>1</v>
      </c>
      <c r="H1609" s="12">
        <f>IF(F1609=0,"",G1609/F1609)</f>
        <v/>
      </c>
    </row>
    <row r="1610">
      <c r="A1610" s="7" t="inlineStr">
        <is>
          <t>Simulado 02</t>
        </is>
      </c>
      <c r="B1610" s="8" t="n">
        <v>52</v>
      </c>
      <c r="C1610" s="8" t="inlineStr">
        <is>
          <t>10ª Fase</t>
        </is>
      </c>
      <c r="D1610" s="8" t="inlineStr">
        <is>
          <t>C</t>
        </is>
      </c>
      <c r="E1610" s="8" t="inlineStr">
        <is>
          <t>Sim</t>
        </is>
      </c>
      <c r="F1610" s="8" t="n">
        <v>31</v>
      </c>
      <c r="G1610" s="8" t="n">
        <v>30</v>
      </c>
      <c r="H1610" s="9">
        <f>IF(F1610=0,"",G1610/F1610)</f>
        <v/>
      </c>
    </row>
    <row r="1611">
      <c r="A1611" s="10" t="inlineStr">
        <is>
          <t>Simulado 02</t>
        </is>
      </c>
      <c r="B1611" s="11" t="n">
        <v>52</v>
      </c>
      <c r="C1611" s="11" t="inlineStr">
        <is>
          <t>10ª Fase</t>
        </is>
      </c>
      <c r="D1611" s="11" t="inlineStr">
        <is>
          <t>D</t>
        </is>
      </c>
      <c r="E1611" s="11" t="inlineStr">
        <is>
          <t>Não</t>
        </is>
      </c>
      <c r="F1611" s="11" t="n">
        <v>31</v>
      </c>
      <c r="G1611" s="11" t="n">
        <v>0</v>
      </c>
      <c r="H1611" s="12">
        <f>IF(F1611=0,"",G1611/F1611)</f>
        <v/>
      </c>
    </row>
    <row r="1612">
      <c r="A1612" s="7" t="inlineStr">
        <is>
          <t>Simulado 02</t>
        </is>
      </c>
      <c r="B1612" s="8" t="n">
        <v>52</v>
      </c>
      <c r="C1612" s="8" t="inlineStr">
        <is>
          <t>10ª Fase</t>
        </is>
      </c>
      <c r="D1612" s="8" t="inlineStr">
        <is>
          <t>E</t>
        </is>
      </c>
      <c r="E1612" s="8" t="inlineStr">
        <is>
          <t>Não</t>
        </is>
      </c>
      <c r="F1612" s="8" t="n">
        <v>31</v>
      </c>
      <c r="G1612" s="8" t="n">
        <v>0</v>
      </c>
      <c r="H1612" s="9">
        <f>IF(F1612=0,"",G1612/F1612)</f>
        <v/>
      </c>
    </row>
    <row r="1613">
      <c r="A1613" s="10" t="inlineStr">
        <is>
          <t>Simulado 02</t>
        </is>
      </c>
      <c r="B1613" s="11" t="n">
        <v>52</v>
      </c>
      <c r="C1613" s="11" t="inlineStr">
        <is>
          <t>11ª Fase</t>
        </is>
      </c>
      <c r="D1613" s="11" t="inlineStr">
        <is>
          <t>A</t>
        </is>
      </c>
      <c r="E1613" s="11" t="inlineStr">
        <is>
          <t>Não</t>
        </is>
      </c>
      <c r="F1613" s="11" t="n">
        <v>29</v>
      </c>
      <c r="G1613" s="11" t="n">
        <v>1</v>
      </c>
      <c r="H1613" s="12">
        <f>IF(F1613=0,"",G1613/F1613)</f>
        <v/>
      </c>
    </row>
    <row r="1614">
      <c r="A1614" s="7" t="inlineStr">
        <is>
          <t>Simulado 02</t>
        </is>
      </c>
      <c r="B1614" s="8" t="n">
        <v>52</v>
      </c>
      <c r="C1614" s="8" t="inlineStr">
        <is>
          <t>11ª Fase</t>
        </is>
      </c>
      <c r="D1614" s="8" t="inlineStr">
        <is>
          <t>B</t>
        </is>
      </c>
      <c r="E1614" s="8" t="inlineStr">
        <is>
          <t>Não</t>
        </is>
      </c>
      <c r="F1614" s="8" t="n">
        <v>29</v>
      </c>
      <c r="G1614" s="8" t="n">
        <v>0</v>
      </c>
      <c r="H1614" s="9">
        <f>IF(F1614=0,"",G1614/F1614)</f>
        <v/>
      </c>
    </row>
    <row r="1615">
      <c r="A1615" s="10" t="inlineStr">
        <is>
          <t>Simulado 02</t>
        </is>
      </c>
      <c r="B1615" s="11" t="n">
        <v>52</v>
      </c>
      <c r="C1615" s="11" t="inlineStr">
        <is>
          <t>11ª Fase</t>
        </is>
      </c>
      <c r="D1615" s="11" t="inlineStr">
        <is>
          <t>C</t>
        </is>
      </c>
      <c r="E1615" s="11" t="inlineStr">
        <is>
          <t>Sim</t>
        </is>
      </c>
      <c r="F1615" s="11" t="n">
        <v>29</v>
      </c>
      <c r="G1615" s="11" t="n">
        <v>28</v>
      </c>
      <c r="H1615" s="12">
        <f>IF(F1615=0,"",G1615/F1615)</f>
        <v/>
      </c>
    </row>
    <row r="1616">
      <c r="A1616" s="7" t="inlineStr">
        <is>
          <t>Simulado 02</t>
        </is>
      </c>
      <c r="B1616" s="8" t="n">
        <v>52</v>
      </c>
      <c r="C1616" s="8" t="inlineStr">
        <is>
          <t>11ª Fase</t>
        </is>
      </c>
      <c r="D1616" s="8" t="inlineStr">
        <is>
          <t>D</t>
        </is>
      </c>
      <c r="E1616" s="8" t="inlineStr">
        <is>
          <t>Não</t>
        </is>
      </c>
      <c r="F1616" s="8" t="n">
        <v>29</v>
      </c>
      <c r="G1616" s="8" t="n">
        <v>0</v>
      </c>
      <c r="H1616" s="9">
        <f>IF(F1616=0,"",G1616/F1616)</f>
        <v/>
      </c>
    </row>
    <row r="1617">
      <c r="A1617" s="10" t="inlineStr">
        <is>
          <t>Simulado 02</t>
        </is>
      </c>
      <c r="B1617" s="11" t="n">
        <v>52</v>
      </c>
      <c r="C1617" s="11" t="inlineStr">
        <is>
          <t>11ª Fase</t>
        </is>
      </c>
      <c r="D1617" s="11" t="inlineStr">
        <is>
          <t>E</t>
        </is>
      </c>
      <c r="E1617" s="11" t="inlineStr">
        <is>
          <t>Não</t>
        </is>
      </c>
      <c r="F1617" s="11" t="n">
        <v>29</v>
      </c>
      <c r="G1617" s="11" t="n">
        <v>0</v>
      </c>
      <c r="H1617" s="12">
        <f>IF(F1617=0,"",G1617/F1617)</f>
        <v/>
      </c>
    </row>
    <row r="1618">
      <c r="A1618" s="7" t="inlineStr">
        <is>
          <t>Simulado 02</t>
        </is>
      </c>
      <c r="B1618" s="8" t="n">
        <v>53</v>
      </c>
      <c r="C1618" s="8" t="inlineStr">
        <is>
          <t>6ª Fase</t>
        </is>
      </c>
      <c r="D1618" s="8" t="inlineStr">
        <is>
          <t>A</t>
        </is>
      </c>
      <c r="E1618" s="8" t="inlineStr">
        <is>
          <t>Não</t>
        </is>
      </c>
      <c r="F1618" s="8" t="n">
        <v>28</v>
      </c>
      <c r="G1618" s="8" t="n">
        <v>0</v>
      </c>
      <c r="H1618" s="9">
        <f>IF(F1618=0,"",G1618/F1618)</f>
        <v/>
      </c>
    </row>
    <row r="1619">
      <c r="A1619" s="10" t="inlineStr">
        <is>
          <t>Simulado 02</t>
        </is>
      </c>
      <c r="B1619" s="11" t="n">
        <v>53</v>
      </c>
      <c r="C1619" s="11" t="inlineStr">
        <is>
          <t>6ª Fase</t>
        </is>
      </c>
      <c r="D1619" s="11" t="inlineStr">
        <is>
          <t>B</t>
        </is>
      </c>
      <c r="E1619" s="11" t="inlineStr">
        <is>
          <t>Não</t>
        </is>
      </c>
      <c r="F1619" s="11" t="n">
        <v>28</v>
      </c>
      <c r="G1619" s="11" t="n">
        <v>10</v>
      </c>
      <c r="H1619" s="12">
        <f>IF(F1619=0,"",G1619/F1619)</f>
        <v/>
      </c>
    </row>
    <row r="1620">
      <c r="A1620" s="7" t="inlineStr">
        <is>
          <t>Simulado 02</t>
        </is>
      </c>
      <c r="B1620" s="8" t="n">
        <v>53</v>
      </c>
      <c r="C1620" s="8" t="inlineStr">
        <is>
          <t>6ª Fase</t>
        </is>
      </c>
      <c r="D1620" s="8" t="inlineStr">
        <is>
          <t>C</t>
        </is>
      </c>
      <c r="E1620" s="8" t="inlineStr">
        <is>
          <t>Não</t>
        </is>
      </c>
      <c r="F1620" s="8" t="n">
        <v>28</v>
      </c>
      <c r="G1620" s="8" t="n">
        <v>11</v>
      </c>
      <c r="H1620" s="9">
        <f>IF(F1620=0,"",G1620/F1620)</f>
        <v/>
      </c>
    </row>
    <row r="1621">
      <c r="A1621" s="10" t="inlineStr">
        <is>
          <t>Simulado 02</t>
        </is>
      </c>
      <c r="B1621" s="11" t="n">
        <v>53</v>
      </c>
      <c r="C1621" s="11" t="inlineStr">
        <is>
          <t>6ª Fase</t>
        </is>
      </c>
      <c r="D1621" s="11" t="inlineStr">
        <is>
          <t>D</t>
        </is>
      </c>
      <c r="E1621" s="11" t="inlineStr">
        <is>
          <t>Não</t>
        </is>
      </c>
      <c r="F1621" s="11" t="n">
        <v>28</v>
      </c>
      <c r="G1621" s="11" t="n">
        <v>0</v>
      </c>
      <c r="H1621" s="12">
        <f>IF(F1621=0,"",G1621/F1621)</f>
        <v/>
      </c>
    </row>
    <row r="1622">
      <c r="A1622" s="7" t="inlineStr">
        <is>
          <t>Simulado 02</t>
        </is>
      </c>
      <c r="B1622" s="8" t="n">
        <v>53</v>
      </c>
      <c r="C1622" s="8" t="inlineStr">
        <is>
          <t>6ª Fase</t>
        </is>
      </c>
      <c r="D1622" s="8" t="inlineStr">
        <is>
          <t>E</t>
        </is>
      </c>
      <c r="E1622" s="8" t="inlineStr">
        <is>
          <t>Sim</t>
        </is>
      </c>
      <c r="F1622" s="8" t="n">
        <v>28</v>
      </c>
      <c r="G1622" s="8" t="n">
        <v>7</v>
      </c>
      <c r="H1622" s="9">
        <f>IF(F1622=0,"",G1622/F1622)</f>
        <v/>
      </c>
    </row>
    <row r="1623">
      <c r="A1623" s="10" t="inlineStr">
        <is>
          <t>Simulado 02</t>
        </is>
      </c>
      <c r="B1623" s="11" t="n">
        <v>53</v>
      </c>
      <c r="C1623" s="11" t="inlineStr">
        <is>
          <t>7ª Fase</t>
        </is>
      </c>
      <c r="D1623" s="11" t="inlineStr">
        <is>
          <t>A</t>
        </is>
      </c>
      <c r="E1623" s="11" t="inlineStr">
        <is>
          <t>Não</t>
        </is>
      </c>
      <c r="F1623" s="11" t="n">
        <v>32</v>
      </c>
      <c r="G1623" s="11" t="n">
        <v>1</v>
      </c>
      <c r="H1623" s="12">
        <f>IF(F1623=0,"",G1623/F1623)</f>
        <v/>
      </c>
    </row>
    <row r="1624">
      <c r="A1624" s="7" t="inlineStr">
        <is>
          <t>Simulado 02</t>
        </is>
      </c>
      <c r="B1624" s="8" t="n">
        <v>53</v>
      </c>
      <c r="C1624" s="8" t="inlineStr">
        <is>
          <t>7ª Fase</t>
        </is>
      </c>
      <c r="D1624" s="8" t="inlineStr">
        <is>
          <t>B</t>
        </is>
      </c>
      <c r="E1624" s="8" t="inlineStr">
        <is>
          <t>Não</t>
        </is>
      </c>
      <c r="F1624" s="8" t="n">
        <v>32</v>
      </c>
      <c r="G1624" s="8" t="n">
        <v>3</v>
      </c>
      <c r="H1624" s="9">
        <f>IF(F1624=0,"",G1624/F1624)</f>
        <v/>
      </c>
    </row>
    <row r="1625">
      <c r="A1625" s="10" t="inlineStr">
        <is>
          <t>Simulado 02</t>
        </is>
      </c>
      <c r="B1625" s="11" t="n">
        <v>53</v>
      </c>
      <c r="C1625" s="11" t="inlineStr">
        <is>
          <t>7ª Fase</t>
        </is>
      </c>
      <c r="D1625" s="11" t="inlineStr">
        <is>
          <t>C</t>
        </is>
      </c>
      <c r="E1625" s="11" t="inlineStr">
        <is>
          <t>Não</t>
        </is>
      </c>
      <c r="F1625" s="11" t="n">
        <v>32</v>
      </c>
      <c r="G1625" s="11" t="n">
        <v>11</v>
      </c>
      <c r="H1625" s="12">
        <f>IF(F1625=0,"",G1625/F1625)</f>
        <v/>
      </c>
    </row>
    <row r="1626">
      <c r="A1626" s="7" t="inlineStr">
        <is>
          <t>Simulado 02</t>
        </is>
      </c>
      <c r="B1626" s="8" t="n">
        <v>53</v>
      </c>
      <c r="C1626" s="8" t="inlineStr">
        <is>
          <t>7ª Fase</t>
        </is>
      </c>
      <c r="D1626" s="8" t="inlineStr">
        <is>
          <t>D</t>
        </is>
      </c>
      <c r="E1626" s="8" t="inlineStr">
        <is>
          <t>Não</t>
        </is>
      </c>
      <c r="F1626" s="8" t="n">
        <v>32</v>
      </c>
      <c r="G1626" s="8" t="n">
        <v>1</v>
      </c>
      <c r="H1626" s="9">
        <f>IF(F1626=0,"",G1626/F1626)</f>
        <v/>
      </c>
    </row>
    <row r="1627">
      <c r="A1627" s="10" t="inlineStr">
        <is>
          <t>Simulado 02</t>
        </is>
      </c>
      <c r="B1627" s="11" t="n">
        <v>53</v>
      </c>
      <c r="C1627" s="11" t="inlineStr">
        <is>
          <t>7ª Fase</t>
        </is>
      </c>
      <c r="D1627" s="11" t="inlineStr">
        <is>
          <t>E</t>
        </is>
      </c>
      <c r="E1627" s="11" t="inlineStr">
        <is>
          <t>Sim</t>
        </is>
      </c>
      <c r="F1627" s="11" t="n">
        <v>32</v>
      </c>
      <c r="G1627" s="11" t="n">
        <v>16</v>
      </c>
      <c r="H1627" s="12">
        <f>IF(F1627=0,"",G1627/F1627)</f>
        <v/>
      </c>
    </row>
    <row r="1628">
      <c r="A1628" s="7" t="inlineStr">
        <is>
          <t>Simulado 02</t>
        </is>
      </c>
      <c r="B1628" s="8" t="n">
        <v>53</v>
      </c>
      <c r="C1628" s="8" t="inlineStr">
        <is>
          <t>10ª Fase</t>
        </is>
      </c>
      <c r="D1628" s="8" t="inlineStr">
        <is>
          <t>A</t>
        </is>
      </c>
      <c r="E1628" s="8" t="inlineStr">
        <is>
          <t>Não</t>
        </is>
      </c>
      <c r="F1628" s="8" t="n">
        <v>31</v>
      </c>
      <c r="G1628" s="8" t="n">
        <v>3</v>
      </c>
      <c r="H1628" s="9">
        <f>IF(F1628=0,"",G1628/F1628)</f>
        <v/>
      </c>
    </row>
    <row r="1629">
      <c r="A1629" s="10" t="inlineStr">
        <is>
          <t>Simulado 02</t>
        </is>
      </c>
      <c r="B1629" s="11" t="n">
        <v>53</v>
      </c>
      <c r="C1629" s="11" t="inlineStr">
        <is>
          <t>10ª Fase</t>
        </is>
      </c>
      <c r="D1629" s="11" t="inlineStr">
        <is>
          <t>B</t>
        </is>
      </c>
      <c r="E1629" s="11" t="inlineStr">
        <is>
          <t>Não</t>
        </is>
      </c>
      <c r="F1629" s="11" t="n">
        <v>31</v>
      </c>
      <c r="G1629" s="11" t="n">
        <v>7</v>
      </c>
      <c r="H1629" s="12">
        <f>IF(F1629=0,"",G1629/F1629)</f>
        <v/>
      </c>
    </row>
    <row r="1630">
      <c r="A1630" s="7" t="inlineStr">
        <is>
          <t>Simulado 02</t>
        </is>
      </c>
      <c r="B1630" s="8" t="n">
        <v>53</v>
      </c>
      <c r="C1630" s="8" t="inlineStr">
        <is>
          <t>10ª Fase</t>
        </is>
      </c>
      <c r="D1630" s="8" t="inlineStr">
        <is>
          <t>C</t>
        </is>
      </c>
      <c r="E1630" s="8" t="inlineStr">
        <is>
          <t>Não</t>
        </is>
      </c>
      <c r="F1630" s="8" t="n">
        <v>31</v>
      </c>
      <c r="G1630" s="8" t="n">
        <v>3</v>
      </c>
      <c r="H1630" s="9">
        <f>IF(F1630=0,"",G1630/F1630)</f>
        <v/>
      </c>
    </row>
    <row r="1631">
      <c r="A1631" s="10" t="inlineStr">
        <is>
          <t>Simulado 02</t>
        </is>
      </c>
      <c r="B1631" s="11" t="n">
        <v>53</v>
      </c>
      <c r="C1631" s="11" t="inlineStr">
        <is>
          <t>10ª Fase</t>
        </is>
      </c>
      <c r="D1631" s="11" t="inlineStr">
        <is>
          <t>D</t>
        </is>
      </c>
      <c r="E1631" s="11" t="inlineStr">
        <is>
          <t>Não</t>
        </is>
      </c>
      <c r="F1631" s="11" t="n">
        <v>31</v>
      </c>
      <c r="G1631" s="11" t="n">
        <v>1</v>
      </c>
      <c r="H1631" s="12">
        <f>IF(F1631=0,"",G1631/F1631)</f>
        <v/>
      </c>
    </row>
    <row r="1632">
      <c r="A1632" s="7" t="inlineStr">
        <is>
          <t>Simulado 02</t>
        </is>
      </c>
      <c r="B1632" s="8" t="n">
        <v>53</v>
      </c>
      <c r="C1632" s="8" t="inlineStr">
        <is>
          <t>10ª Fase</t>
        </is>
      </c>
      <c r="D1632" s="8" t="inlineStr">
        <is>
          <t>E</t>
        </is>
      </c>
      <c r="E1632" s="8" t="inlineStr">
        <is>
          <t>Sim</t>
        </is>
      </c>
      <c r="F1632" s="8" t="n">
        <v>31</v>
      </c>
      <c r="G1632" s="8" t="n">
        <v>17</v>
      </c>
      <c r="H1632" s="9">
        <f>IF(F1632=0,"",G1632/F1632)</f>
        <v/>
      </c>
    </row>
    <row r="1633">
      <c r="A1633" s="10" t="inlineStr">
        <is>
          <t>Simulado 02</t>
        </is>
      </c>
      <c r="B1633" s="11" t="n">
        <v>53</v>
      </c>
      <c r="C1633" s="11" t="inlineStr">
        <is>
          <t>11ª Fase</t>
        </is>
      </c>
      <c r="D1633" s="11" t="inlineStr">
        <is>
          <t>A</t>
        </is>
      </c>
      <c r="E1633" s="11" t="inlineStr">
        <is>
          <t>Não</t>
        </is>
      </c>
      <c r="F1633" s="11" t="n">
        <v>29</v>
      </c>
      <c r="G1633" s="11" t="n">
        <v>3</v>
      </c>
      <c r="H1633" s="12">
        <f>IF(F1633=0,"",G1633/F1633)</f>
        <v/>
      </c>
    </row>
    <row r="1634">
      <c r="A1634" s="7" t="inlineStr">
        <is>
          <t>Simulado 02</t>
        </is>
      </c>
      <c r="B1634" s="8" t="n">
        <v>53</v>
      </c>
      <c r="C1634" s="8" t="inlineStr">
        <is>
          <t>11ª Fase</t>
        </is>
      </c>
      <c r="D1634" s="8" t="inlineStr">
        <is>
          <t>B</t>
        </is>
      </c>
      <c r="E1634" s="8" t="inlineStr">
        <is>
          <t>Não</t>
        </is>
      </c>
      <c r="F1634" s="8" t="n">
        <v>29</v>
      </c>
      <c r="G1634" s="8" t="n">
        <v>9</v>
      </c>
      <c r="H1634" s="9">
        <f>IF(F1634=0,"",G1634/F1634)</f>
        <v/>
      </c>
    </row>
    <row r="1635">
      <c r="A1635" s="10" t="inlineStr">
        <is>
          <t>Simulado 02</t>
        </is>
      </c>
      <c r="B1635" s="11" t="n">
        <v>53</v>
      </c>
      <c r="C1635" s="11" t="inlineStr">
        <is>
          <t>11ª Fase</t>
        </is>
      </c>
      <c r="D1635" s="11" t="inlineStr">
        <is>
          <t>C</t>
        </is>
      </c>
      <c r="E1635" s="11" t="inlineStr">
        <is>
          <t>Não</t>
        </is>
      </c>
      <c r="F1635" s="11" t="n">
        <v>29</v>
      </c>
      <c r="G1635" s="11" t="n">
        <v>10</v>
      </c>
      <c r="H1635" s="12">
        <f>IF(F1635=0,"",G1635/F1635)</f>
        <v/>
      </c>
    </row>
    <row r="1636">
      <c r="A1636" s="7" t="inlineStr">
        <is>
          <t>Simulado 02</t>
        </is>
      </c>
      <c r="B1636" s="8" t="n">
        <v>53</v>
      </c>
      <c r="C1636" s="8" t="inlineStr">
        <is>
          <t>11ª Fase</t>
        </is>
      </c>
      <c r="D1636" s="8" t="inlineStr">
        <is>
          <t>D</t>
        </is>
      </c>
      <c r="E1636" s="8" t="inlineStr">
        <is>
          <t>Não</t>
        </is>
      </c>
      <c r="F1636" s="8" t="n">
        <v>29</v>
      </c>
      <c r="G1636" s="8" t="n">
        <v>0</v>
      </c>
      <c r="H1636" s="9">
        <f>IF(F1636=0,"",G1636/F1636)</f>
        <v/>
      </c>
    </row>
    <row r="1637">
      <c r="A1637" s="10" t="inlineStr">
        <is>
          <t>Simulado 02</t>
        </is>
      </c>
      <c r="B1637" s="11" t="n">
        <v>53</v>
      </c>
      <c r="C1637" s="11" t="inlineStr">
        <is>
          <t>11ª Fase</t>
        </is>
      </c>
      <c r="D1637" s="11" t="inlineStr">
        <is>
          <t>E</t>
        </is>
      </c>
      <c r="E1637" s="11" t="inlineStr">
        <is>
          <t>Sim</t>
        </is>
      </c>
      <c r="F1637" s="11" t="n">
        <v>29</v>
      </c>
      <c r="G1637" s="11" t="n">
        <v>7</v>
      </c>
      <c r="H1637" s="12">
        <f>IF(F1637=0,"",G1637/F1637)</f>
        <v/>
      </c>
    </row>
    <row r="1638">
      <c r="A1638" s="7" t="inlineStr">
        <is>
          <t>Simulado 02</t>
        </is>
      </c>
      <c r="B1638" s="8" t="n">
        <v>54</v>
      </c>
      <c r="C1638" s="8" t="inlineStr">
        <is>
          <t>6ª Fase</t>
        </is>
      </c>
      <c r="D1638" s="8" t="inlineStr">
        <is>
          <t>A</t>
        </is>
      </c>
      <c r="E1638" s="8" t="inlineStr">
        <is>
          <t>Não</t>
        </is>
      </c>
      <c r="F1638" s="8" t="n">
        <v>28</v>
      </c>
      <c r="G1638" s="8" t="n">
        <v>0</v>
      </c>
      <c r="H1638" s="9">
        <f>IF(F1638=0,"",G1638/F1638)</f>
        <v/>
      </c>
    </row>
    <row r="1639">
      <c r="A1639" s="10" t="inlineStr">
        <is>
          <t>Simulado 02</t>
        </is>
      </c>
      <c r="B1639" s="11" t="n">
        <v>54</v>
      </c>
      <c r="C1639" s="11" t="inlineStr">
        <is>
          <t>6ª Fase</t>
        </is>
      </c>
      <c r="D1639" s="11" t="inlineStr">
        <is>
          <t>B</t>
        </is>
      </c>
      <c r="E1639" s="11" t="inlineStr">
        <is>
          <t>Não</t>
        </is>
      </c>
      <c r="F1639" s="11" t="n">
        <v>28</v>
      </c>
      <c r="G1639" s="11" t="n">
        <v>6</v>
      </c>
      <c r="H1639" s="12">
        <f>IF(F1639=0,"",G1639/F1639)</f>
        <v/>
      </c>
    </row>
    <row r="1640">
      <c r="A1640" s="7" t="inlineStr">
        <is>
          <t>Simulado 02</t>
        </is>
      </c>
      <c r="B1640" s="8" t="n">
        <v>54</v>
      </c>
      <c r="C1640" s="8" t="inlineStr">
        <is>
          <t>6ª Fase</t>
        </is>
      </c>
      <c r="D1640" s="8" t="inlineStr">
        <is>
          <t>C</t>
        </is>
      </c>
      <c r="E1640" s="8" t="inlineStr">
        <is>
          <t>Não</t>
        </is>
      </c>
      <c r="F1640" s="8" t="n">
        <v>28</v>
      </c>
      <c r="G1640" s="8" t="n">
        <v>4</v>
      </c>
      <c r="H1640" s="9">
        <f>IF(F1640=0,"",G1640/F1640)</f>
        <v/>
      </c>
    </row>
    <row r="1641">
      <c r="A1641" s="10" t="inlineStr">
        <is>
          <t>Simulado 02</t>
        </is>
      </c>
      <c r="B1641" s="11" t="n">
        <v>54</v>
      </c>
      <c r="C1641" s="11" t="inlineStr">
        <is>
          <t>6ª Fase</t>
        </is>
      </c>
      <c r="D1641" s="11" t="inlineStr">
        <is>
          <t>D</t>
        </is>
      </c>
      <c r="E1641" s="11" t="inlineStr">
        <is>
          <t>Não</t>
        </is>
      </c>
      <c r="F1641" s="11" t="n">
        <v>28</v>
      </c>
      <c r="G1641" s="11" t="n">
        <v>2</v>
      </c>
      <c r="H1641" s="12">
        <f>IF(F1641=0,"",G1641/F1641)</f>
        <v/>
      </c>
    </row>
    <row r="1642">
      <c r="A1642" s="7" t="inlineStr">
        <is>
          <t>Simulado 02</t>
        </is>
      </c>
      <c r="B1642" s="8" t="n">
        <v>54</v>
      </c>
      <c r="C1642" s="8" t="inlineStr">
        <is>
          <t>6ª Fase</t>
        </is>
      </c>
      <c r="D1642" s="8" t="inlineStr">
        <is>
          <t>E</t>
        </is>
      </c>
      <c r="E1642" s="8" t="inlineStr">
        <is>
          <t>Sim</t>
        </is>
      </c>
      <c r="F1642" s="8" t="n">
        <v>28</v>
      </c>
      <c r="G1642" s="8" t="n">
        <v>16</v>
      </c>
      <c r="H1642" s="9">
        <f>IF(F1642=0,"",G1642/F1642)</f>
        <v/>
      </c>
    </row>
    <row r="1643">
      <c r="A1643" s="10" t="inlineStr">
        <is>
          <t>Simulado 02</t>
        </is>
      </c>
      <c r="B1643" s="11" t="n">
        <v>54</v>
      </c>
      <c r="C1643" s="11" t="inlineStr">
        <is>
          <t>7ª Fase</t>
        </is>
      </c>
      <c r="D1643" s="11" t="inlineStr">
        <is>
          <t>A</t>
        </is>
      </c>
      <c r="E1643" s="11" t="inlineStr">
        <is>
          <t>Não</t>
        </is>
      </c>
      <c r="F1643" s="11" t="n">
        <v>32</v>
      </c>
      <c r="G1643" s="11" t="n">
        <v>1</v>
      </c>
      <c r="H1643" s="12">
        <f>IF(F1643=0,"",G1643/F1643)</f>
        <v/>
      </c>
    </row>
    <row r="1644">
      <c r="A1644" s="7" t="inlineStr">
        <is>
          <t>Simulado 02</t>
        </is>
      </c>
      <c r="B1644" s="8" t="n">
        <v>54</v>
      </c>
      <c r="C1644" s="8" t="inlineStr">
        <is>
          <t>7ª Fase</t>
        </is>
      </c>
      <c r="D1644" s="8" t="inlineStr">
        <is>
          <t>B</t>
        </is>
      </c>
      <c r="E1644" s="8" t="inlineStr">
        <is>
          <t>Não</t>
        </is>
      </c>
      <c r="F1644" s="8" t="n">
        <v>32</v>
      </c>
      <c r="G1644" s="8" t="n">
        <v>1</v>
      </c>
      <c r="H1644" s="9">
        <f>IF(F1644=0,"",G1644/F1644)</f>
        <v/>
      </c>
    </row>
    <row r="1645">
      <c r="A1645" s="10" t="inlineStr">
        <is>
          <t>Simulado 02</t>
        </is>
      </c>
      <c r="B1645" s="11" t="n">
        <v>54</v>
      </c>
      <c r="C1645" s="11" t="inlineStr">
        <is>
          <t>7ª Fase</t>
        </is>
      </c>
      <c r="D1645" s="11" t="inlineStr">
        <is>
          <t>C</t>
        </is>
      </c>
      <c r="E1645" s="11" t="inlineStr">
        <is>
          <t>Não</t>
        </is>
      </c>
      <c r="F1645" s="11" t="n">
        <v>32</v>
      </c>
      <c r="G1645" s="11" t="n">
        <v>5</v>
      </c>
      <c r="H1645" s="12">
        <f>IF(F1645=0,"",G1645/F1645)</f>
        <v/>
      </c>
    </row>
    <row r="1646">
      <c r="A1646" s="7" t="inlineStr">
        <is>
          <t>Simulado 02</t>
        </is>
      </c>
      <c r="B1646" s="8" t="n">
        <v>54</v>
      </c>
      <c r="C1646" s="8" t="inlineStr">
        <is>
          <t>7ª Fase</t>
        </is>
      </c>
      <c r="D1646" s="8" t="inlineStr">
        <is>
          <t>D</t>
        </is>
      </c>
      <c r="E1646" s="8" t="inlineStr">
        <is>
          <t>Não</t>
        </is>
      </c>
      <c r="F1646" s="8" t="n">
        <v>32</v>
      </c>
      <c r="G1646" s="8" t="n">
        <v>3</v>
      </c>
      <c r="H1646" s="9">
        <f>IF(F1646=0,"",G1646/F1646)</f>
        <v/>
      </c>
    </row>
    <row r="1647">
      <c r="A1647" s="10" t="inlineStr">
        <is>
          <t>Simulado 02</t>
        </is>
      </c>
      <c r="B1647" s="11" t="n">
        <v>54</v>
      </c>
      <c r="C1647" s="11" t="inlineStr">
        <is>
          <t>7ª Fase</t>
        </is>
      </c>
      <c r="D1647" s="11" t="inlineStr">
        <is>
          <t>E</t>
        </is>
      </c>
      <c r="E1647" s="11" t="inlineStr">
        <is>
          <t>Sim</t>
        </is>
      </c>
      <c r="F1647" s="11" t="n">
        <v>32</v>
      </c>
      <c r="G1647" s="11" t="n">
        <v>22</v>
      </c>
      <c r="H1647" s="12">
        <f>IF(F1647=0,"",G1647/F1647)</f>
        <v/>
      </c>
    </row>
    <row r="1648">
      <c r="A1648" s="7" t="inlineStr">
        <is>
          <t>Simulado 02</t>
        </is>
      </c>
      <c r="B1648" s="8" t="n">
        <v>54</v>
      </c>
      <c r="C1648" s="8" t="inlineStr">
        <is>
          <t>10ª Fase</t>
        </is>
      </c>
      <c r="D1648" s="8" t="inlineStr">
        <is>
          <t>A</t>
        </is>
      </c>
      <c r="E1648" s="8" t="inlineStr">
        <is>
          <t>Não</t>
        </is>
      </c>
      <c r="F1648" s="8" t="n">
        <v>31</v>
      </c>
      <c r="G1648" s="8" t="n">
        <v>0</v>
      </c>
      <c r="H1648" s="9">
        <f>IF(F1648=0,"",G1648/F1648)</f>
        <v/>
      </c>
    </row>
    <row r="1649">
      <c r="A1649" s="10" t="inlineStr">
        <is>
          <t>Simulado 02</t>
        </is>
      </c>
      <c r="B1649" s="11" t="n">
        <v>54</v>
      </c>
      <c r="C1649" s="11" t="inlineStr">
        <is>
          <t>10ª Fase</t>
        </is>
      </c>
      <c r="D1649" s="11" t="inlineStr">
        <is>
          <t>B</t>
        </is>
      </c>
      <c r="E1649" s="11" t="inlineStr">
        <is>
          <t>Não</t>
        </is>
      </c>
      <c r="F1649" s="11" t="n">
        <v>31</v>
      </c>
      <c r="G1649" s="11" t="n">
        <v>3</v>
      </c>
      <c r="H1649" s="12">
        <f>IF(F1649=0,"",G1649/F1649)</f>
        <v/>
      </c>
    </row>
    <row r="1650">
      <c r="A1650" s="7" t="inlineStr">
        <is>
          <t>Simulado 02</t>
        </is>
      </c>
      <c r="B1650" s="8" t="n">
        <v>54</v>
      </c>
      <c r="C1650" s="8" t="inlineStr">
        <is>
          <t>10ª Fase</t>
        </is>
      </c>
      <c r="D1650" s="8" t="inlineStr">
        <is>
          <t>C</t>
        </is>
      </c>
      <c r="E1650" s="8" t="inlineStr">
        <is>
          <t>Não</t>
        </is>
      </c>
      <c r="F1650" s="8" t="n">
        <v>31</v>
      </c>
      <c r="G1650" s="8" t="n">
        <v>1</v>
      </c>
      <c r="H1650" s="9">
        <f>IF(F1650=0,"",G1650/F1650)</f>
        <v/>
      </c>
    </row>
    <row r="1651">
      <c r="A1651" s="10" t="inlineStr">
        <is>
          <t>Simulado 02</t>
        </is>
      </c>
      <c r="B1651" s="11" t="n">
        <v>54</v>
      </c>
      <c r="C1651" s="11" t="inlineStr">
        <is>
          <t>10ª Fase</t>
        </is>
      </c>
      <c r="D1651" s="11" t="inlineStr">
        <is>
          <t>D</t>
        </is>
      </c>
      <c r="E1651" s="11" t="inlineStr">
        <is>
          <t>Não</t>
        </is>
      </c>
      <c r="F1651" s="11" t="n">
        <v>31</v>
      </c>
      <c r="G1651" s="11" t="n">
        <v>0</v>
      </c>
      <c r="H1651" s="12">
        <f>IF(F1651=0,"",G1651/F1651)</f>
        <v/>
      </c>
    </row>
    <row r="1652">
      <c r="A1652" s="7" t="inlineStr">
        <is>
          <t>Simulado 02</t>
        </is>
      </c>
      <c r="B1652" s="8" t="n">
        <v>54</v>
      </c>
      <c r="C1652" s="8" t="inlineStr">
        <is>
          <t>10ª Fase</t>
        </is>
      </c>
      <c r="D1652" s="8" t="inlineStr">
        <is>
          <t>E</t>
        </is>
      </c>
      <c r="E1652" s="8" t="inlineStr">
        <is>
          <t>Sim</t>
        </is>
      </c>
      <c r="F1652" s="8" t="n">
        <v>31</v>
      </c>
      <c r="G1652" s="8" t="n">
        <v>27</v>
      </c>
      <c r="H1652" s="9">
        <f>IF(F1652=0,"",G1652/F1652)</f>
        <v/>
      </c>
    </row>
    <row r="1653">
      <c r="A1653" s="10" t="inlineStr">
        <is>
          <t>Simulado 02</t>
        </is>
      </c>
      <c r="B1653" s="11" t="n">
        <v>54</v>
      </c>
      <c r="C1653" s="11" t="inlineStr">
        <is>
          <t>11ª Fase</t>
        </is>
      </c>
      <c r="D1653" s="11" t="inlineStr">
        <is>
          <t>A</t>
        </is>
      </c>
      <c r="E1653" s="11" t="inlineStr">
        <is>
          <t>Não</t>
        </is>
      </c>
      <c r="F1653" s="11" t="n">
        <v>29</v>
      </c>
      <c r="G1653" s="11" t="n">
        <v>0</v>
      </c>
      <c r="H1653" s="12">
        <f>IF(F1653=0,"",G1653/F1653)</f>
        <v/>
      </c>
    </row>
    <row r="1654">
      <c r="A1654" s="7" t="inlineStr">
        <is>
          <t>Simulado 02</t>
        </is>
      </c>
      <c r="B1654" s="8" t="n">
        <v>54</v>
      </c>
      <c r="C1654" s="8" t="inlineStr">
        <is>
          <t>11ª Fase</t>
        </is>
      </c>
      <c r="D1654" s="8" t="inlineStr">
        <is>
          <t>B</t>
        </is>
      </c>
      <c r="E1654" s="8" t="inlineStr">
        <is>
          <t>Não</t>
        </is>
      </c>
      <c r="F1654" s="8" t="n">
        <v>29</v>
      </c>
      <c r="G1654" s="8" t="n">
        <v>3</v>
      </c>
      <c r="H1654" s="9">
        <f>IF(F1654=0,"",G1654/F1654)</f>
        <v/>
      </c>
    </row>
    <row r="1655">
      <c r="A1655" s="10" t="inlineStr">
        <is>
          <t>Simulado 02</t>
        </is>
      </c>
      <c r="B1655" s="11" t="n">
        <v>54</v>
      </c>
      <c r="C1655" s="11" t="inlineStr">
        <is>
          <t>11ª Fase</t>
        </is>
      </c>
      <c r="D1655" s="11" t="inlineStr">
        <is>
          <t>C</t>
        </is>
      </c>
      <c r="E1655" s="11" t="inlineStr">
        <is>
          <t>Não</t>
        </is>
      </c>
      <c r="F1655" s="11" t="n">
        <v>29</v>
      </c>
      <c r="G1655" s="11" t="n">
        <v>4</v>
      </c>
      <c r="H1655" s="12">
        <f>IF(F1655=0,"",G1655/F1655)</f>
        <v/>
      </c>
    </row>
    <row r="1656">
      <c r="A1656" s="7" t="inlineStr">
        <is>
          <t>Simulado 02</t>
        </is>
      </c>
      <c r="B1656" s="8" t="n">
        <v>54</v>
      </c>
      <c r="C1656" s="8" t="inlineStr">
        <is>
          <t>11ª Fase</t>
        </is>
      </c>
      <c r="D1656" s="8" t="inlineStr">
        <is>
          <t>D</t>
        </is>
      </c>
      <c r="E1656" s="8" t="inlineStr">
        <is>
          <t>Não</t>
        </is>
      </c>
      <c r="F1656" s="8" t="n">
        <v>29</v>
      </c>
      <c r="G1656" s="8" t="n">
        <v>1</v>
      </c>
      <c r="H1656" s="9">
        <f>IF(F1656=0,"",G1656/F1656)</f>
        <v/>
      </c>
    </row>
    <row r="1657">
      <c r="A1657" s="10" t="inlineStr">
        <is>
          <t>Simulado 02</t>
        </is>
      </c>
      <c r="B1657" s="11" t="n">
        <v>54</v>
      </c>
      <c r="C1657" s="11" t="inlineStr">
        <is>
          <t>11ª Fase</t>
        </is>
      </c>
      <c r="D1657" s="11" t="inlineStr">
        <is>
          <t>E</t>
        </is>
      </c>
      <c r="E1657" s="11" t="inlineStr">
        <is>
          <t>Sim</t>
        </is>
      </c>
      <c r="F1657" s="11" t="n">
        <v>29</v>
      </c>
      <c r="G1657" s="11" t="n">
        <v>21</v>
      </c>
      <c r="H1657" s="12">
        <f>IF(F1657=0,"",G1657/F1657)</f>
        <v/>
      </c>
    </row>
    <row r="1658">
      <c r="A1658" s="7" t="inlineStr">
        <is>
          <t>Simulado 02</t>
        </is>
      </c>
      <c r="B1658" s="8" t="n">
        <v>55</v>
      </c>
      <c r="C1658" s="8" t="inlineStr">
        <is>
          <t>6ª Fase</t>
        </is>
      </c>
      <c r="D1658" s="8" t="inlineStr">
        <is>
          <t>A</t>
        </is>
      </c>
      <c r="E1658" s="8" t="inlineStr">
        <is>
          <t>Não</t>
        </is>
      </c>
      <c r="F1658" s="8" t="n">
        <v>28</v>
      </c>
      <c r="G1658" s="8" t="n">
        <v>0</v>
      </c>
      <c r="H1658" s="9">
        <f>IF(F1658=0,"",G1658/F1658)</f>
        <v/>
      </c>
    </row>
    <row r="1659">
      <c r="A1659" s="10" t="inlineStr">
        <is>
          <t>Simulado 02</t>
        </is>
      </c>
      <c r="B1659" s="11" t="n">
        <v>55</v>
      </c>
      <c r="C1659" s="11" t="inlineStr">
        <is>
          <t>6ª Fase</t>
        </is>
      </c>
      <c r="D1659" s="11" t="inlineStr">
        <is>
          <t>B</t>
        </is>
      </c>
      <c r="E1659" s="11" t="inlineStr">
        <is>
          <t>Sim</t>
        </is>
      </c>
      <c r="F1659" s="11" t="n">
        <v>28</v>
      </c>
      <c r="G1659" s="11" t="n">
        <v>23</v>
      </c>
      <c r="H1659" s="12">
        <f>IF(F1659=0,"",G1659/F1659)</f>
        <v/>
      </c>
    </row>
    <row r="1660">
      <c r="A1660" s="7" t="inlineStr">
        <is>
          <t>Simulado 02</t>
        </is>
      </c>
      <c r="B1660" s="8" t="n">
        <v>55</v>
      </c>
      <c r="C1660" s="8" t="inlineStr">
        <is>
          <t>6ª Fase</t>
        </is>
      </c>
      <c r="D1660" s="8" t="inlineStr">
        <is>
          <t>C</t>
        </is>
      </c>
      <c r="E1660" s="8" t="inlineStr">
        <is>
          <t>Não</t>
        </is>
      </c>
      <c r="F1660" s="8" t="n">
        <v>28</v>
      </c>
      <c r="G1660" s="8" t="n">
        <v>1</v>
      </c>
      <c r="H1660" s="9">
        <f>IF(F1660=0,"",G1660/F1660)</f>
        <v/>
      </c>
    </row>
    <row r="1661">
      <c r="A1661" s="10" t="inlineStr">
        <is>
          <t>Simulado 02</t>
        </is>
      </c>
      <c r="B1661" s="11" t="n">
        <v>55</v>
      </c>
      <c r="C1661" s="11" t="inlineStr">
        <is>
          <t>6ª Fase</t>
        </is>
      </c>
      <c r="D1661" s="11" t="inlineStr">
        <is>
          <t>D</t>
        </is>
      </c>
      <c r="E1661" s="11" t="inlineStr">
        <is>
          <t>Não</t>
        </is>
      </c>
      <c r="F1661" s="11" t="n">
        <v>28</v>
      </c>
      <c r="G1661" s="11" t="n">
        <v>2</v>
      </c>
      <c r="H1661" s="12">
        <f>IF(F1661=0,"",G1661/F1661)</f>
        <v/>
      </c>
    </row>
    <row r="1662">
      <c r="A1662" s="7" t="inlineStr">
        <is>
          <t>Simulado 02</t>
        </is>
      </c>
      <c r="B1662" s="8" t="n">
        <v>55</v>
      </c>
      <c r="C1662" s="8" t="inlineStr">
        <is>
          <t>6ª Fase</t>
        </is>
      </c>
      <c r="D1662" s="8" t="inlineStr">
        <is>
          <t>E</t>
        </is>
      </c>
      <c r="E1662" s="8" t="inlineStr">
        <is>
          <t>Não</t>
        </is>
      </c>
      <c r="F1662" s="8" t="n">
        <v>28</v>
      </c>
      <c r="G1662" s="8" t="n">
        <v>2</v>
      </c>
      <c r="H1662" s="9">
        <f>IF(F1662=0,"",G1662/F1662)</f>
        <v/>
      </c>
    </row>
    <row r="1663">
      <c r="A1663" s="10" t="inlineStr">
        <is>
          <t>Simulado 02</t>
        </is>
      </c>
      <c r="B1663" s="11" t="n">
        <v>55</v>
      </c>
      <c r="C1663" s="11" t="inlineStr">
        <is>
          <t>7ª Fase</t>
        </is>
      </c>
      <c r="D1663" s="11" t="inlineStr">
        <is>
          <t>A</t>
        </is>
      </c>
      <c r="E1663" s="11" t="inlineStr">
        <is>
          <t>Não</t>
        </is>
      </c>
      <c r="F1663" s="11" t="n">
        <v>32</v>
      </c>
      <c r="G1663" s="11" t="n">
        <v>0</v>
      </c>
      <c r="H1663" s="12">
        <f>IF(F1663=0,"",G1663/F1663)</f>
        <v/>
      </c>
    </row>
    <row r="1664">
      <c r="A1664" s="7" t="inlineStr">
        <is>
          <t>Simulado 02</t>
        </is>
      </c>
      <c r="B1664" s="8" t="n">
        <v>55</v>
      </c>
      <c r="C1664" s="8" t="inlineStr">
        <is>
          <t>7ª Fase</t>
        </is>
      </c>
      <c r="D1664" s="8" t="inlineStr">
        <is>
          <t>B</t>
        </is>
      </c>
      <c r="E1664" s="8" t="inlineStr">
        <is>
          <t>Sim</t>
        </is>
      </c>
      <c r="F1664" s="8" t="n">
        <v>32</v>
      </c>
      <c r="G1664" s="8" t="n">
        <v>29</v>
      </c>
      <c r="H1664" s="9">
        <f>IF(F1664=0,"",G1664/F1664)</f>
        <v/>
      </c>
    </row>
    <row r="1665">
      <c r="A1665" s="10" t="inlineStr">
        <is>
          <t>Simulado 02</t>
        </is>
      </c>
      <c r="B1665" s="11" t="n">
        <v>55</v>
      </c>
      <c r="C1665" s="11" t="inlineStr">
        <is>
          <t>7ª Fase</t>
        </is>
      </c>
      <c r="D1665" s="11" t="inlineStr">
        <is>
          <t>C</t>
        </is>
      </c>
      <c r="E1665" s="11" t="inlineStr">
        <is>
          <t>Não</t>
        </is>
      </c>
      <c r="F1665" s="11" t="n">
        <v>32</v>
      </c>
      <c r="G1665" s="11" t="n">
        <v>1</v>
      </c>
      <c r="H1665" s="12">
        <f>IF(F1665=0,"",G1665/F1665)</f>
        <v/>
      </c>
    </row>
    <row r="1666">
      <c r="A1666" s="7" t="inlineStr">
        <is>
          <t>Simulado 02</t>
        </is>
      </c>
      <c r="B1666" s="8" t="n">
        <v>55</v>
      </c>
      <c r="C1666" s="8" t="inlineStr">
        <is>
          <t>7ª Fase</t>
        </is>
      </c>
      <c r="D1666" s="8" t="inlineStr">
        <is>
          <t>D</t>
        </is>
      </c>
      <c r="E1666" s="8" t="inlineStr">
        <is>
          <t>Não</t>
        </is>
      </c>
      <c r="F1666" s="8" t="n">
        <v>32</v>
      </c>
      <c r="G1666" s="8" t="n">
        <v>0</v>
      </c>
      <c r="H1666" s="9">
        <f>IF(F1666=0,"",G1666/F1666)</f>
        <v/>
      </c>
    </row>
    <row r="1667">
      <c r="A1667" s="10" t="inlineStr">
        <is>
          <t>Simulado 02</t>
        </is>
      </c>
      <c r="B1667" s="11" t="n">
        <v>55</v>
      </c>
      <c r="C1667" s="11" t="inlineStr">
        <is>
          <t>7ª Fase</t>
        </is>
      </c>
      <c r="D1667" s="11" t="inlineStr">
        <is>
          <t>E</t>
        </is>
      </c>
      <c r="E1667" s="11" t="inlineStr">
        <is>
          <t>Não</t>
        </is>
      </c>
      <c r="F1667" s="11" t="n">
        <v>32</v>
      </c>
      <c r="G1667" s="11" t="n">
        <v>2</v>
      </c>
      <c r="H1667" s="12">
        <f>IF(F1667=0,"",G1667/F1667)</f>
        <v/>
      </c>
    </row>
    <row r="1668">
      <c r="A1668" s="7" t="inlineStr">
        <is>
          <t>Simulado 02</t>
        </is>
      </c>
      <c r="B1668" s="8" t="n">
        <v>55</v>
      </c>
      <c r="C1668" s="8" t="inlineStr">
        <is>
          <t>10ª Fase</t>
        </is>
      </c>
      <c r="D1668" s="8" t="inlineStr">
        <is>
          <t>A</t>
        </is>
      </c>
      <c r="E1668" s="8" t="inlineStr">
        <is>
          <t>Não</t>
        </is>
      </c>
      <c r="F1668" s="8" t="n">
        <v>31</v>
      </c>
      <c r="G1668" s="8" t="n">
        <v>0</v>
      </c>
      <c r="H1668" s="9">
        <f>IF(F1668=0,"",G1668/F1668)</f>
        <v/>
      </c>
    </row>
    <row r="1669">
      <c r="A1669" s="10" t="inlineStr">
        <is>
          <t>Simulado 02</t>
        </is>
      </c>
      <c r="B1669" s="11" t="n">
        <v>55</v>
      </c>
      <c r="C1669" s="11" t="inlineStr">
        <is>
          <t>10ª Fase</t>
        </is>
      </c>
      <c r="D1669" s="11" t="inlineStr">
        <is>
          <t>B</t>
        </is>
      </c>
      <c r="E1669" s="11" t="inlineStr">
        <is>
          <t>Sim</t>
        </is>
      </c>
      <c r="F1669" s="11" t="n">
        <v>31</v>
      </c>
      <c r="G1669" s="11" t="n">
        <v>29</v>
      </c>
      <c r="H1669" s="12">
        <f>IF(F1669=0,"",G1669/F1669)</f>
        <v/>
      </c>
    </row>
    <row r="1670">
      <c r="A1670" s="7" t="inlineStr">
        <is>
          <t>Simulado 02</t>
        </is>
      </c>
      <c r="B1670" s="8" t="n">
        <v>55</v>
      </c>
      <c r="C1670" s="8" t="inlineStr">
        <is>
          <t>10ª Fase</t>
        </is>
      </c>
      <c r="D1670" s="8" t="inlineStr">
        <is>
          <t>C</t>
        </is>
      </c>
      <c r="E1670" s="8" t="inlineStr">
        <is>
          <t>Não</t>
        </is>
      </c>
      <c r="F1670" s="8" t="n">
        <v>31</v>
      </c>
      <c r="G1670" s="8" t="n">
        <v>0</v>
      </c>
      <c r="H1670" s="9">
        <f>IF(F1670=0,"",G1670/F1670)</f>
        <v/>
      </c>
    </row>
    <row r="1671">
      <c r="A1671" s="10" t="inlineStr">
        <is>
          <t>Simulado 02</t>
        </is>
      </c>
      <c r="B1671" s="11" t="n">
        <v>55</v>
      </c>
      <c r="C1671" s="11" t="inlineStr">
        <is>
          <t>10ª Fase</t>
        </is>
      </c>
      <c r="D1671" s="11" t="inlineStr">
        <is>
          <t>D</t>
        </is>
      </c>
      <c r="E1671" s="11" t="inlineStr">
        <is>
          <t>Não</t>
        </is>
      </c>
      <c r="F1671" s="11" t="n">
        <v>31</v>
      </c>
      <c r="G1671" s="11" t="n">
        <v>0</v>
      </c>
      <c r="H1671" s="12">
        <f>IF(F1671=0,"",G1671/F1671)</f>
        <v/>
      </c>
    </row>
    <row r="1672">
      <c r="A1672" s="7" t="inlineStr">
        <is>
          <t>Simulado 02</t>
        </is>
      </c>
      <c r="B1672" s="8" t="n">
        <v>55</v>
      </c>
      <c r="C1672" s="8" t="inlineStr">
        <is>
          <t>10ª Fase</t>
        </is>
      </c>
      <c r="D1672" s="8" t="inlineStr">
        <is>
          <t>E</t>
        </is>
      </c>
      <c r="E1672" s="8" t="inlineStr">
        <is>
          <t>Não</t>
        </is>
      </c>
      <c r="F1672" s="8" t="n">
        <v>31</v>
      </c>
      <c r="G1672" s="8" t="n">
        <v>2</v>
      </c>
      <c r="H1672" s="9">
        <f>IF(F1672=0,"",G1672/F1672)</f>
        <v/>
      </c>
    </row>
    <row r="1673">
      <c r="A1673" s="10" t="inlineStr">
        <is>
          <t>Simulado 02</t>
        </is>
      </c>
      <c r="B1673" s="11" t="n">
        <v>55</v>
      </c>
      <c r="C1673" s="11" t="inlineStr">
        <is>
          <t>11ª Fase</t>
        </is>
      </c>
      <c r="D1673" s="11" t="inlineStr">
        <is>
          <t>A</t>
        </is>
      </c>
      <c r="E1673" s="11" t="inlineStr">
        <is>
          <t>Não</t>
        </is>
      </c>
      <c r="F1673" s="11" t="n">
        <v>29</v>
      </c>
      <c r="G1673" s="11" t="n">
        <v>1</v>
      </c>
      <c r="H1673" s="12">
        <f>IF(F1673=0,"",G1673/F1673)</f>
        <v/>
      </c>
    </row>
    <row r="1674">
      <c r="A1674" s="7" t="inlineStr">
        <is>
          <t>Simulado 02</t>
        </is>
      </c>
      <c r="B1674" s="8" t="n">
        <v>55</v>
      </c>
      <c r="C1674" s="8" t="inlineStr">
        <is>
          <t>11ª Fase</t>
        </is>
      </c>
      <c r="D1674" s="8" t="inlineStr">
        <is>
          <t>B</t>
        </is>
      </c>
      <c r="E1674" s="8" t="inlineStr">
        <is>
          <t>Sim</t>
        </is>
      </c>
      <c r="F1674" s="8" t="n">
        <v>29</v>
      </c>
      <c r="G1674" s="8" t="n">
        <v>25</v>
      </c>
      <c r="H1674" s="9">
        <f>IF(F1674=0,"",G1674/F1674)</f>
        <v/>
      </c>
    </row>
    <row r="1675">
      <c r="A1675" s="10" t="inlineStr">
        <is>
          <t>Simulado 02</t>
        </is>
      </c>
      <c r="B1675" s="11" t="n">
        <v>55</v>
      </c>
      <c r="C1675" s="11" t="inlineStr">
        <is>
          <t>11ª Fase</t>
        </is>
      </c>
      <c r="D1675" s="11" t="inlineStr">
        <is>
          <t>C</t>
        </is>
      </c>
      <c r="E1675" s="11" t="inlineStr">
        <is>
          <t>Não</t>
        </is>
      </c>
      <c r="F1675" s="11" t="n">
        <v>29</v>
      </c>
      <c r="G1675" s="11" t="n">
        <v>0</v>
      </c>
      <c r="H1675" s="12">
        <f>IF(F1675=0,"",G1675/F1675)</f>
        <v/>
      </c>
    </row>
    <row r="1676">
      <c r="A1676" s="7" t="inlineStr">
        <is>
          <t>Simulado 02</t>
        </is>
      </c>
      <c r="B1676" s="8" t="n">
        <v>55</v>
      </c>
      <c r="C1676" s="8" t="inlineStr">
        <is>
          <t>11ª Fase</t>
        </is>
      </c>
      <c r="D1676" s="8" t="inlineStr">
        <is>
          <t>D</t>
        </is>
      </c>
      <c r="E1676" s="8" t="inlineStr">
        <is>
          <t>Não</t>
        </is>
      </c>
      <c r="F1676" s="8" t="n">
        <v>29</v>
      </c>
      <c r="G1676" s="8" t="n">
        <v>0</v>
      </c>
      <c r="H1676" s="9">
        <f>IF(F1676=0,"",G1676/F1676)</f>
        <v/>
      </c>
    </row>
    <row r="1677">
      <c r="A1677" s="10" t="inlineStr">
        <is>
          <t>Simulado 02</t>
        </is>
      </c>
      <c r="B1677" s="11" t="n">
        <v>55</v>
      </c>
      <c r="C1677" s="11" t="inlineStr">
        <is>
          <t>11ª Fase</t>
        </is>
      </c>
      <c r="D1677" s="11" t="inlineStr">
        <is>
          <t>E</t>
        </is>
      </c>
      <c r="E1677" s="11" t="inlineStr">
        <is>
          <t>Não</t>
        </is>
      </c>
      <c r="F1677" s="11" t="n">
        <v>29</v>
      </c>
      <c r="G1677" s="11" t="n">
        <v>3</v>
      </c>
      <c r="H1677" s="12">
        <f>IF(F1677=0,"",G1677/F1677)</f>
        <v/>
      </c>
    </row>
    <row r="1678">
      <c r="A1678" s="7" t="inlineStr">
        <is>
          <t>Simulado 02</t>
        </is>
      </c>
      <c r="B1678" s="8" t="n">
        <v>56</v>
      </c>
      <c r="C1678" s="8" t="inlineStr">
        <is>
          <t>6ª Fase</t>
        </is>
      </c>
      <c r="D1678" s="8" t="inlineStr">
        <is>
          <t>A</t>
        </is>
      </c>
      <c r="E1678" s="8" t="inlineStr">
        <is>
          <t>Não</t>
        </is>
      </c>
      <c r="F1678" s="8" t="n">
        <v>28</v>
      </c>
      <c r="G1678" s="8" t="n">
        <v>1</v>
      </c>
      <c r="H1678" s="9">
        <f>IF(F1678=0,"",G1678/F1678)</f>
        <v/>
      </c>
    </row>
    <row r="1679">
      <c r="A1679" s="10" t="inlineStr">
        <is>
          <t>Simulado 02</t>
        </is>
      </c>
      <c r="B1679" s="11" t="n">
        <v>56</v>
      </c>
      <c r="C1679" s="11" t="inlineStr">
        <is>
          <t>6ª Fase</t>
        </is>
      </c>
      <c r="D1679" s="11" t="inlineStr">
        <is>
          <t>B</t>
        </is>
      </c>
      <c r="E1679" s="11" t="inlineStr">
        <is>
          <t>Não</t>
        </is>
      </c>
      <c r="F1679" s="11" t="n">
        <v>28</v>
      </c>
      <c r="G1679" s="11" t="n">
        <v>9</v>
      </c>
      <c r="H1679" s="12">
        <f>IF(F1679=0,"",G1679/F1679)</f>
        <v/>
      </c>
    </row>
    <row r="1680">
      <c r="A1680" s="7" t="inlineStr">
        <is>
          <t>Simulado 02</t>
        </is>
      </c>
      <c r="B1680" s="8" t="n">
        <v>56</v>
      </c>
      <c r="C1680" s="8" t="inlineStr">
        <is>
          <t>6ª Fase</t>
        </is>
      </c>
      <c r="D1680" s="8" t="inlineStr">
        <is>
          <t>C</t>
        </is>
      </c>
      <c r="E1680" s="8" t="inlineStr">
        <is>
          <t>Não</t>
        </is>
      </c>
      <c r="F1680" s="8" t="n">
        <v>28</v>
      </c>
      <c r="G1680" s="8" t="n">
        <v>2</v>
      </c>
      <c r="H1680" s="9">
        <f>IF(F1680=0,"",G1680/F1680)</f>
        <v/>
      </c>
    </row>
    <row r="1681">
      <c r="A1681" s="10" t="inlineStr">
        <is>
          <t>Simulado 02</t>
        </is>
      </c>
      <c r="B1681" s="11" t="n">
        <v>56</v>
      </c>
      <c r="C1681" s="11" t="inlineStr">
        <is>
          <t>6ª Fase</t>
        </is>
      </c>
      <c r="D1681" s="11" t="inlineStr">
        <is>
          <t>D</t>
        </is>
      </c>
      <c r="E1681" s="11" t="inlineStr">
        <is>
          <t>Sim</t>
        </is>
      </c>
      <c r="F1681" s="11" t="n">
        <v>28</v>
      </c>
      <c r="G1681" s="11" t="n">
        <v>15</v>
      </c>
      <c r="H1681" s="12">
        <f>IF(F1681=0,"",G1681/F1681)</f>
        <v/>
      </c>
    </row>
    <row r="1682">
      <c r="A1682" s="7" t="inlineStr">
        <is>
          <t>Simulado 02</t>
        </is>
      </c>
      <c r="B1682" s="8" t="n">
        <v>56</v>
      </c>
      <c r="C1682" s="8" t="inlineStr">
        <is>
          <t>6ª Fase</t>
        </is>
      </c>
      <c r="D1682" s="8" t="inlineStr">
        <is>
          <t>E</t>
        </is>
      </c>
      <c r="E1682" s="8" t="inlineStr">
        <is>
          <t>Não</t>
        </is>
      </c>
      <c r="F1682" s="8" t="n">
        <v>28</v>
      </c>
      <c r="G1682" s="8" t="n">
        <v>1</v>
      </c>
      <c r="H1682" s="9">
        <f>IF(F1682=0,"",G1682/F1682)</f>
        <v/>
      </c>
    </row>
    <row r="1683">
      <c r="A1683" s="10" t="inlineStr">
        <is>
          <t>Simulado 02</t>
        </is>
      </c>
      <c r="B1683" s="11" t="n">
        <v>56</v>
      </c>
      <c r="C1683" s="11" t="inlineStr">
        <is>
          <t>7ª Fase</t>
        </is>
      </c>
      <c r="D1683" s="11" t="inlineStr">
        <is>
          <t>A</t>
        </is>
      </c>
      <c r="E1683" s="11" t="inlineStr">
        <is>
          <t>Não</t>
        </is>
      </c>
      <c r="F1683" s="11" t="n">
        <v>32</v>
      </c>
      <c r="G1683" s="11" t="n">
        <v>0</v>
      </c>
      <c r="H1683" s="12">
        <f>IF(F1683=0,"",G1683/F1683)</f>
        <v/>
      </c>
    </row>
    <row r="1684">
      <c r="A1684" s="7" t="inlineStr">
        <is>
          <t>Simulado 02</t>
        </is>
      </c>
      <c r="B1684" s="8" t="n">
        <v>56</v>
      </c>
      <c r="C1684" s="8" t="inlineStr">
        <is>
          <t>7ª Fase</t>
        </is>
      </c>
      <c r="D1684" s="8" t="inlineStr">
        <is>
          <t>B</t>
        </is>
      </c>
      <c r="E1684" s="8" t="inlineStr">
        <is>
          <t>Não</t>
        </is>
      </c>
      <c r="F1684" s="8" t="n">
        <v>32</v>
      </c>
      <c r="G1684" s="8" t="n">
        <v>8</v>
      </c>
      <c r="H1684" s="9">
        <f>IF(F1684=0,"",G1684/F1684)</f>
        <v/>
      </c>
    </row>
    <row r="1685">
      <c r="A1685" s="10" t="inlineStr">
        <is>
          <t>Simulado 02</t>
        </is>
      </c>
      <c r="B1685" s="11" t="n">
        <v>56</v>
      </c>
      <c r="C1685" s="11" t="inlineStr">
        <is>
          <t>7ª Fase</t>
        </is>
      </c>
      <c r="D1685" s="11" t="inlineStr">
        <is>
          <t>C</t>
        </is>
      </c>
      <c r="E1685" s="11" t="inlineStr">
        <is>
          <t>Não</t>
        </is>
      </c>
      <c r="F1685" s="11" t="n">
        <v>32</v>
      </c>
      <c r="G1685" s="11" t="n">
        <v>2</v>
      </c>
      <c r="H1685" s="12">
        <f>IF(F1685=0,"",G1685/F1685)</f>
        <v/>
      </c>
    </row>
    <row r="1686">
      <c r="A1686" s="7" t="inlineStr">
        <is>
          <t>Simulado 02</t>
        </is>
      </c>
      <c r="B1686" s="8" t="n">
        <v>56</v>
      </c>
      <c r="C1686" s="8" t="inlineStr">
        <is>
          <t>7ª Fase</t>
        </is>
      </c>
      <c r="D1686" s="8" t="inlineStr">
        <is>
          <t>D</t>
        </is>
      </c>
      <c r="E1686" s="8" t="inlineStr">
        <is>
          <t>Sim</t>
        </is>
      </c>
      <c r="F1686" s="8" t="n">
        <v>32</v>
      </c>
      <c r="G1686" s="8" t="n">
        <v>22</v>
      </c>
      <c r="H1686" s="9">
        <f>IF(F1686=0,"",G1686/F1686)</f>
        <v/>
      </c>
    </row>
    <row r="1687">
      <c r="A1687" s="10" t="inlineStr">
        <is>
          <t>Simulado 02</t>
        </is>
      </c>
      <c r="B1687" s="11" t="n">
        <v>56</v>
      </c>
      <c r="C1687" s="11" t="inlineStr">
        <is>
          <t>7ª Fase</t>
        </is>
      </c>
      <c r="D1687" s="11" t="inlineStr">
        <is>
          <t>E</t>
        </is>
      </c>
      <c r="E1687" s="11" t="inlineStr">
        <is>
          <t>Não</t>
        </is>
      </c>
      <c r="F1687" s="11" t="n">
        <v>32</v>
      </c>
      <c r="G1687" s="11" t="n">
        <v>0</v>
      </c>
      <c r="H1687" s="12">
        <f>IF(F1687=0,"",G1687/F1687)</f>
        <v/>
      </c>
    </row>
    <row r="1688">
      <c r="A1688" s="7" t="inlineStr">
        <is>
          <t>Simulado 02</t>
        </is>
      </c>
      <c r="B1688" s="8" t="n">
        <v>56</v>
      </c>
      <c r="C1688" s="8" t="inlineStr">
        <is>
          <t>10ª Fase</t>
        </is>
      </c>
      <c r="D1688" s="8" t="inlineStr">
        <is>
          <t>A</t>
        </is>
      </c>
      <c r="E1688" s="8" t="inlineStr">
        <is>
          <t>Não</t>
        </is>
      </c>
      <c r="F1688" s="8" t="n">
        <v>31</v>
      </c>
      <c r="G1688" s="8" t="n">
        <v>0</v>
      </c>
      <c r="H1688" s="9">
        <f>IF(F1688=0,"",G1688/F1688)</f>
        <v/>
      </c>
    </row>
    <row r="1689">
      <c r="A1689" s="10" t="inlineStr">
        <is>
          <t>Simulado 02</t>
        </is>
      </c>
      <c r="B1689" s="11" t="n">
        <v>56</v>
      </c>
      <c r="C1689" s="11" t="inlineStr">
        <is>
          <t>10ª Fase</t>
        </is>
      </c>
      <c r="D1689" s="11" t="inlineStr">
        <is>
          <t>B</t>
        </is>
      </c>
      <c r="E1689" s="11" t="inlineStr">
        <is>
          <t>Não</t>
        </is>
      </c>
      <c r="F1689" s="11" t="n">
        <v>31</v>
      </c>
      <c r="G1689" s="11" t="n">
        <v>6</v>
      </c>
      <c r="H1689" s="12">
        <f>IF(F1689=0,"",G1689/F1689)</f>
        <v/>
      </c>
    </row>
    <row r="1690">
      <c r="A1690" s="7" t="inlineStr">
        <is>
          <t>Simulado 02</t>
        </is>
      </c>
      <c r="B1690" s="8" t="n">
        <v>56</v>
      </c>
      <c r="C1690" s="8" t="inlineStr">
        <is>
          <t>10ª Fase</t>
        </is>
      </c>
      <c r="D1690" s="8" t="inlineStr">
        <is>
          <t>C</t>
        </is>
      </c>
      <c r="E1690" s="8" t="inlineStr">
        <is>
          <t>Não</t>
        </is>
      </c>
      <c r="F1690" s="8" t="n">
        <v>31</v>
      </c>
      <c r="G1690" s="8" t="n">
        <v>0</v>
      </c>
      <c r="H1690" s="9">
        <f>IF(F1690=0,"",G1690/F1690)</f>
        <v/>
      </c>
    </row>
    <row r="1691">
      <c r="A1691" s="10" t="inlineStr">
        <is>
          <t>Simulado 02</t>
        </is>
      </c>
      <c r="B1691" s="11" t="n">
        <v>56</v>
      </c>
      <c r="C1691" s="11" t="inlineStr">
        <is>
          <t>10ª Fase</t>
        </is>
      </c>
      <c r="D1691" s="11" t="inlineStr">
        <is>
          <t>D</t>
        </is>
      </c>
      <c r="E1691" s="11" t="inlineStr">
        <is>
          <t>Sim</t>
        </is>
      </c>
      <c r="F1691" s="11" t="n">
        <v>31</v>
      </c>
      <c r="G1691" s="11" t="n">
        <v>24</v>
      </c>
      <c r="H1691" s="12">
        <f>IF(F1691=0,"",G1691/F1691)</f>
        <v/>
      </c>
    </row>
    <row r="1692">
      <c r="A1692" s="7" t="inlineStr">
        <is>
          <t>Simulado 02</t>
        </is>
      </c>
      <c r="B1692" s="8" t="n">
        <v>56</v>
      </c>
      <c r="C1692" s="8" t="inlineStr">
        <is>
          <t>10ª Fase</t>
        </is>
      </c>
      <c r="D1692" s="8" t="inlineStr">
        <is>
          <t>E</t>
        </is>
      </c>
      <c r="E1692" s="8" t="inlineStr">
        <is>
          <t>Não</t>
        </is>
      </c>
      <c r="F1692" s="8" t="n">
        <v>31</v>
      </c>
      <c r="G1692" s="8" t="n">
        <v>1</v>
      </c>
      <c r="H1692" s="9">
        <f>IF(F1692=0,"",G1692/F1692)</f>
        <v/>
      </c>
    </row>
    <row r="1693">
      <c r="A1693" s="10" t="inlineStr">
        <is>
          <t>Simulado 02</t>
        </is>
      </c>
      <c r="B1693" s="11" t="n">
        <v>56</v>
      </c>
      <c r="C1693" s="11" t="inlineStr">
        <is>
          <t>11ª Fase</t>
        </is>
      </c>
      <c r="D1693" s="11" t="inlineStr">
        <is>
          <t>A</t>
        </is>
      </c>
      <c r="E1693" s="11" t="inlineStr">
        <is>
          <t>Não</t>
        </is>
      </c>
      <c r="F1693" s="11" t="n">
        <v>29</v>
      </c>
      <c r="G1693" s="11" t="n">
        <v>0</v>
      </c>
      <c r="H1693" s="12">
        <f>IF(F1693=0,"",G1693/F1693)</f>
        <v/>
      </c>
    </row>
    <row r="1694">
      <c r="A1694" s="7" t="inlineStr">
        <is>
          <t>Simulado 02</t>
        </is>
      </c>
      <c r="B1694" s="8" t="n">
        <v>56</v>
      </c>
      <c r="C1694" s="8" t="inlineStr">
        <is>
          <t>11ª Fase</t>
        </is>
      </c>
      <c r="D1694" s="8" t="inlineStr">
        <is>
          <t>B</t>
        </is>
      </c>
      <c r="E1694" s="8" t="inlineStr">
        <is>
          <t>Não</t>
        </is>
      </c>
      <c r="F1694" s="8" t="n">
        <v>29</v>
      </c>
      <c r="G1694" s="8" t="n">
        <v>4</v>
      </c>
      <c r="H1694" s="9">
        <f>IF(F1694=0,"",G1694/F1694)</f>
        <v/>
      </c>
    </row>
    <row r="1695">
      <c r="A1695" s="10" t="inlineStr">
        <is>
          <t>Simulado 02</t>
        </is>
      </c>
      <c r="B1695" s="11" t="n">
        <v>56</v>
      </c>
      <c r="C1695" s="11" t="inlineStr">
        <is>
          <t>11ª Fase</t>
        </is>
      </c>
      <c r="D1695" s="11" t="inlineStr">
        <is>
          <t>C</t>
        </is>
      </c>
      <c r="E1695" s="11" t="inlineStr">
        <is>
          <t>Não</t>
        </is>
      </c>
      <c r="F1695" s="11" t="n">
        <v>29</v>
      </c>
      <c r="G1695" s="11" t="n">
        <v>0</v>
      </c>
      <c r="H1695" s="12">
        <f>IF(F1695=0,"",G1695/F1695)</f>
        <v/>
      </c>
    </row>
    <row r="1696">
      <c r="A1696" s="7" t="inlineStr">
        <is>
          <t>Simulado 02</t>
        </is>
      </c>
      <c r="B1696" s="8" t="n">
        <v>56</v>
      </c>
      <c r="C1696" s="8" t="inlineStr">
        <is>
          <t>11ª Fase</t>
        </is>
      </c>
      <c r="D1696" s="8" t="inlineStr">
        <is>
          <t>D</t>
        </is>
      </c>
      <c r="E1696" s="8" t="inlineStr">
        <is>
          <t>Sim</t>
        </is>
      </c>
      <c r="F1696" s="8" t="n">
        <v>29</v>
      </c>
      <c r="G1696" s="8" t="n">
        <v>25</v>
      </c>
      <c r="H1696" s="9">
        <f>IF(F1696=0,"",G1696/F1696)</f>
        <v/>
      </c>
    </row>
    <row r="1697">
      <c r="A1697" s="10" t="inlineStr">
        <is>
          <t>Simulado 02</t>
        </is>
      </c>
      <c r="B1697" s="11" t="n">
        <v>56</v>
      </c>
      <c r="C1697" s="11" t="inlineStr">
        <is>
          <t>11ª Fase</t>
        </is>
      </c>
      <c r="D1697" s="11" t="inlineStr">
        <is>
          <t>E</t>
        </is>
      </c>
      <c r="E1697" s="11" t="inlineStr">
        <is>
          <t>Não</t>
        </is>
      </c>
      <c r="F1697" s="11" t="n">
        <v>29</v>
      </c>
      <c r="G1697" s="11" t="n">
        <v>0</v>
      </c>
      <c r="H1697" s="12">
        <f>IF(F1697=0,"",G1697/F1697)</f>
        <v/>
      </c>
    </row>
    <row r="1698">
      <c r="A1698" s="7" t="inlineStr">
        <is>
          <t>Simulado 02</t>
        </is>
      </c>
      <c r="B1698" s="8" t="n">
        <v>57</v>
      </c>
      <c r="C1698" s="8" t="inlineStr">
        <is>
          <t>6ª Fase</t>
        </is>
      </c>
      <c r="D1698" s="8" t="inlineStr">
        <is>
          <t>A</t>
        </is>
      </c>
      <c r="E1698" s="8" t="inlineStr">
        <is>
          <t>Não</t>
        </is>
      </c>
      <c r="F1698" s="8" t="n">
        <v>28</v>
      </c>
      <c r="G1698" s="8" t="n">
        <v>10</v>
      </c>
      <c r="H1698" s="9">
        <f>IF(F1698=0,"",G1698/F1698)</f>
        <v/>
      </c>
    </row>
    <row r="1699">
      <c r="A1699" s="10" t="inlineStr">
        <is>
          <t>Simulado 02</t>
        </is>
      </c>
      <c r="B1699" s="11" t="n">
        <v>57</v>
      </c>
      <c r="C1699" s="11" t="inlineStr">
        <is>
          <t>6ª Fase</t>
        </is>
      </c>
      <c r="D1699" s="11" t="inlineStr">
        <is>
          <t>B</t>
        </is>
      </c>
      <c r="E1699" s="11" t="inlineStr">
        <is>
          <t>Não</t>
        </is>
      </c>
      <c r="F1699" s="11" t="n">
        <v>28</v>
      </c>
      <c r="G1699" s="11" t="n">
        <v>0</v>
      </c>
      <c r="H1699" s="12">
        <f>IF(F1699=0,"",G1699/F1699)</f>
        <v/>
      </c>
    </row>
    <row r="1700">
      <c r="A1700" s="7" t="inlineStr">
        <is>
          <t>Simulado 02</t>
        </is>
      </c>
      <c r="B1700" s="8" t="n">
        <v>57</v>
      </c>
      <c r="C1700" s="8" t="inlineStr">
        <is>
          <t>6ª Fase</t>
        </is>
      </c>
      <c r="D1700" s="8" t="inlineStr">
        <is>
          <t>C</t>
        </is>
      </c>
      <c r="E1700" s="8" t="inlineStr">
        <is>
          <t>Não</t>
        </is>
      </c>
      <c r="F1700" s="8" t="n">
        <v>28</v>
      </c>
      <c r="G1700" s="8" t="n">
        <v>4</v>
      </c>
      <c r="H1700" s="9">
        <f>IF(F1700=0,"",G1700/F1700)</f>
        <v/>
      </c>
    </row>
    <row r="1701">
      <c r="A1701" s="10" t="inlineStr">
        <is>
          <t>Simulado 02</t>
        </is>
      </c>
      <c r="B1701" s="11" t="n">
        <v>57</v>
      </c>
      <c r="C1701" s="11" t="inlineStr">
        <is>
          <t>6ª Fase</t>
        </is>
      </c>
      <c r="D1701" s="11" t="inlineStr">
        <is>
          <t>D</t>
        </is>
      </c>
      <c r="E1701" s="11" t="inlineStr">
        <is>
          <t>Não</t>
        </is>
      </c>
      <c r="F1701" s="11" t="n">
        <v>28</v>
      </c>
      <c r="G1701" s="11" t="n">
        <v>9</v>
      </c>
      <c r="H1701" s="12">
        <f>IF(F1701=0,"",G1701/F1701)</f>
        <v/>
      </c>
    </row>
    <row r="1702">
      <c r="A1702" s="7" t="inlineStr">
        <is>
          <t>Simulado 02</t>
        </is>
      </c>
      <c r="B1702" s="8" t="n">
        <v>57</v>
      </c>
      <c r="C1702" s="8" t="inlineStr">
        <is>
          <t>6ª Fase</t>
        </is>
      </c>
      <c r="D1702" s="8" t="inlineStr">
        <is>
          <t>E</t>
        </is>
      </c>
      <c r="E1702" s="8" t="inlineStr">
        <is>
          <t>Sim</t>
        </is>
      </c>
      <c r="F1702" s="8" t="n">
        <v>28</v>
      </c>
      <c r="G1702" s="8" t="n">
        <v>5</v>
      </c>
      <c r="H1702" s="9">
        <f>IF(F1702=0,"",G1702/F1702)</f>
        <v/>
      </c>
    </row>
    <row r="1703">
      <c r="A1703" s="10" t="inlineStr">
        <is>
          <t>Simulado 02</t>
        </is>
      </c>
      <c r="B1703" s="11" t="n">
        <v>57</v>
      </c>
      <c r="C1703" s="11" t="inlineStr">
        <is>
          <t>7ª Fase</t>
        </is>
      </c>
      <c r="D1703" s="11" t="inlineStr">
        <is>
          <t>A</t>
        </is>
      </c>
      <c r="E1703" s="11" t="inlineStr">
        <is>
          <t>Não</t>
        </is>
      </c>
      <c r="F1703" s="11" t="n">
        <v>32</v>
      </c>
      <c r="G1703" s="11" t="n">
        <v>11</v>
      </c>
      <c r="H1703" s="12">
        <f>IF(F1703=0,"",G1703/F1703)</f>
        <v/>
      </c>
    </row>
    <row r="1704">
      <c r="A1704" s="7" t="inlineStr">
        <is>
          <t>Simulado 02</t>
        </is>
      </c>
      <c r="B1704" s="8" t="n">
        <v>57</v>
      </c>
      <c r="C1704" s="8" t="inlineStr">
        <is>
          <t>7ª Fase</t>
        </is>
      </c>
      <c r="D1704" s="8" t="inlineStr">
        <is>
          <t>B</t>
        </is>
      </c>
      <c r="E1704" s="8" t="inlineStr">
        <is>
          <t>Não</t>
        </is>
      </c>
      <c r="F1704" s="8" t="n">
        <v>32</v>
      </c>
      <c r="G1704" s="8" t="n">
        <v>0</v>
      </c>
      <c r="H1704" s="9">
        <f>IF(F1704=0,"",G1704/F1704)</f>
        <v/>
      </c>
    </row>
    <row r="1705">
      <c r="A1705" s="10" t="inlineStr">
        <is>
          <t>Simulado 02</t>
        </is>
      </c>
      <c r="B1705" s="11" t="n">
        <v>57</v>
      </c>
      <c r="C1705" s="11" t="inlineStr">
        <is>
          <t>7ª Fase</t>
        </is>
      </c>
      <c r="D1705" s="11" t="inlineStr">
        <is>
          <t>C</t>
        </is>
      </c>
      <c r="E1705" s="11" t="inlineStr">
        <is>
          <t>Não</t>
        </is>
      </c>
      <c r="F1705" s="11" t="n">
        <v>32</v>
      </c>
      <c r="G1705" s="11" t="n">
        <v>3</v>
      </c>
      <c r="H1705" s="12">
        <f>IF(F1705=0,"",G1705/F1705)</f>
        <v/>
      </c>
    </row>
    <row r="1706">
      <c r="A1706" s="7" t="inlineStr">
        <is>
          <t>Simulado 02</t>
        </is>
      </c>
      <c r="B1706" s="8" t="n">
        <v>57</v>
      </c>
      <c r="C1706" s="8" t="inlineStr">
        <is>
          <t>7ª Fase</t>
        </is>
      </c>
      <c r="D1706" s="8" t="inlineStr">
        <is>
          <t>D</t>
        </is>
      </c>
      <c r="E1706" s="8" t="inlineStr">
        <is>
          <t>Não</t>
        </is>
      </c>
      <c r="F1706" s="8" t="n">
        <v>32</v>
      </c>
      <c r="G1706" s="8" t="n">
        <v>16</v>
      </c>
      <c r="H1706" s="9">
        <f>IF(F1706=0,"",G1706/F1706)</f>
        <v/>
      </c>
    </row>
    <row r="1707">
      <c r="A1707" s="10" t="inlineStr">
        <is>
          <t>Simulado 02</t>
        </is>
      </c>
      <c r="B1707" s="11" t="n">
        <v>57</v>
      </c>
      <c r="C1707" s="11" t="inlineStr">
        <is>
          <t>7ª Fase</t>
        </is>
      </c>
      <c r="D1707" s="11" t="inlineStr">
        <is>
          <t>E</t>
        </is>
      </c>
      <c r="E1707" s="11" t="inlineStr">
        <is>
          <t>Sim</t>
        </is>
      </c>
      <c r="F1707" s="11" t="n">
        <v>32</v>
      </c>
      <c r="G1707" s="11" t="n">
        <v>2</v>
      </c>
      <c r="H1707" s="12">
        <f>IF(F1707=0,"",G1707/F1707)</f>
        <v/>
      </c>
    </row>
    <row r="1708">
      <c r="A1708" s="7" t="inlineStr">
        <is>
          <t>Simulado 02</t>
        </is>
      </c>
      <c r="B1708" s="8" t="n">
        <v>57</v>
      </c>
      <c r="C1708" s="8" t="inlineStr">
        <is>
          <t>10ª Fase</t>
        </is>
      </c>
      <c r="D1708" s="8" t="inlineStr">
        <is>
          <t>A</t>
        </is>
      </c>
      <c r="E1708" s="8" t="inlineStr">
        <is>
          <t>Não</t>
        </is>
      </c>
      <c r="F1708" s="8" t="n">
        <v>31</v>
      </c>
      <c r="G1708" s="8" t="n">
        <v>10</v>
      </c>
      <c r="H1708" s="9">
        <f>IF(F1708=0,"",G1708/F1708)</f>
        <v/>
      </c>
    </row>
    <row r="1709">
      <c r="A1709" s="10" t="inlineStr">
        <is>
          <t>Simulado 02</t>
        </is>
      </c>
      <c r="B1709" s="11" t="n">
        <v>57</v>
      </c>
      <c r="C1709" s="11" t="inlineStr">
        <is>
          <t>10ª Fase</t>
        </is>
      </c>
      <c r="D1709" s="11" t="inlineStr">
        <is>
          <t>B</t>
        </is>
      </c>
      <c r="E1709" s="11" t="inlineStr">
        <is>
          <t>Não</t>
        </is>
      </c>
      <c r="F1709" s="11" t="n">
        <v>31</v>
      </c>
      <c r="G1709" s="11" t="n">
        <v>0</v>
      </c>
      <c r="H1709" s="12">
        <f>IF(F1709=0,"",G1709/F1709)</f>
        <v/>
      </c>
    </row>
    <row r="1710">
      <c r="A1710" s="7" t="inlineStr">
        <is>
          <t>Simulado 02</t>
        </is>
      </c>
      <c r="B1710" s="8" t="n">
        <v>57</v>
      </c>
      <c r="C1710" s="8" t="inlineStr">
        <is>
          <t>10ª Fase</t>
        </is>
      </c>
      <c r="D1710" s="8" t="inlineStr">
        <is>
          <t>C</t>
        </is>
      </c>
      <c r="E1710" s="8" t="inlineStr">
        <is>
          <t>Não</t>
        </is>
      </c>
      <c r="F1710" s="8" t="n">
        <v>31</v>
      </c>
      <c r="G1710" s="8" t="n">
        <v>2</v>
      </c>
      <c r="H1710" s="9">
        <f>IF(F1710=0,"",G1710/F1710)</f>
        <v/>
      </c>
    </row>
    <row r="1711">
      <c r="A1711" s="10" t="inlineStr">
        <is>
          <t>Simulado 02</t>
        </is>
      </c>
      <c r="B1711" s="11" t="n">
        <v>57</v>
      </c>
      <c r="C1711" s="11" t="inlineStr">
        <is>
          <t>10ª Fase</t>
        </is>
      </c>
      <c r="D1711" s="11" t="inlineStr">
        <is>
          <t>D</t>
        </is>
      </c>
      <c r="E1711" s="11" t="inlineStr">
        <is>
          <t>Não</t>
        </is>
      </c>
      <c r="F1711" s="11" t="n">
        <v>31</v>
      </c>
      <c r="G1711" s="11" t="n">
        <v>11</v>
      </c>
      <c r="H1711" s="12">
        <f>IF(F1711=0,"",G1711/F1711)</f>
        <v/>
      </c>
    </row>
    <row r="1712">
      <c r="A1712" s="7" t="inlineStr">
        <is>
          <t>Simulado 02</t>
        </is>
      </c>
      <c r="B1712" s="8" t="n">
        <v>57</v>
      </c>
      <c r="C1712" s="8" t="inlineStr">
        <is>
          <t>10ª Fase</t>
        </is>
      </c>
      <c r="D1712" s="8" t="inlineStr">
        <is>
          <t>E</t>
        </is>
      </c>
      <c r="E1712" s="8" t="inlineStr">
        <is>
          <t>Sim</t>
        </is>
      </c>
      <c r="F1712" s="8" t="n">
        <v>31</v>
      </c>
      <c r="G1712" s="8" t="n">
        <v>8</v>
      </c>
      <c r="H1712" s="9">
        <f>IF(F1712=0,"",G1712/F1712)</f>
        <v/>
      </c>
    </row>
    <row r="1713">
      <c r="A1713" s="10" t="inlineStr">
        <is>
          <t>Simulado 02</t>
        </is>
      </c>
      <c r="B1713" s="11" t="n">
        <v>57</v>
      </c>
      <c r="C1713" s="11" t="inlineStr">
        <is>
          <t>11ª Fase</t>
        </is>
      </c>
      <c r="D1713" s="11" t="inlineStr">
        <is>
          <t>A</t>
        </is>
      </c>
      <c r="E1713" s="11" t="inlineStr">
        <is>
          <t>Não</t>
        </is>
      </c>
      <c r="F1713" s="11" t="n">
        <v>29</v>
      </c>
      <c r="G1713" s="11" t="n">
        <v>4</v>
      </c>
      <c r="H1713" s="12">
        <f>IF(F1713=0,"",G1713/F1713)</f>
        <v/>
      </c>
    </row>
    <row r="1714">
      <c r="A1714" s="7" t="inlineStr">
        <is>
          <t>Simulado 02</t>
        </is>
      </c>
      <c r="B1714" s="8" t="n">
        <v>57</v>
      </c>
      <c r="C1714" s="8" t="inlineStr">
        <is>
          <t>11ª Fase</t>
        </is>
      </c>
      <c r="D1714" s="8" t="inlineStr">
        <is>
          <t>B</t>
        </is>
      </c>
      <c r="E1714" s="8" t="inlineStr">
        <is>
          <t>Não</t>
        </is>
      </c>
      <c r="F1714" s="8" t="n">
        <v>29</v>
      </c>
      <c r="G1714" s="8" t="n">
        <v>0</v>
      </c>
      <c r="H1714" s="9">
        <f>IF(F1714=0,"",G1714/F1714)</f>
        <v/>
      </c>
    </row>
    <row r="1715">
      <c r="A1715" s="10" t="inlineStr">
        <is>
          <t>Simulado 02</t>
        </is>
      </c>
      <c r="B1715" s="11" t="n">
        <v>57</v>
      </c>
      <c r="C1715" s="11" t="inlineStr">
        <is>
          <t>11ª Fase</t>
        </is>
      </c>
      <c r="D1715" s="11" t="inlineStr">
        <is>
          <t>C</t>
        </is>
      </c>
      <c r="E1715" s="11" t="inlineStr">
        <is>
          <t>Não</t>
        </is>
      </c>
      <c r="F1715" s="11" t="n">
        <v>29</v>
      </c>
      <c r="G1715" s="11" t="n">
        <v>2</v>
      </c>
      <c r="H1715" s="12">
        <f>IF(F1715=0,"",G1715/F1715)</f>
        <v/>
      </c>
    </row>
    <row r="1716">
      <c r="A1716" s="7" t="inlineStr">
        <is>
          <t>Simulado 02</t>
        </is>
      </c>
      <c r="B1716" s="8" t="n">
        <v>57</v>
      </c>
      <c r="C1716" s="8" t="inlineStr">
        <is>
          <t>11ª Fase</t>
        </is>
      </c>
      <c r="D1716" s="8" t="inlineStr">
        <is>
          <t>D</t>
        </is>
      </c>
      <c r="E1716" s="8" t="inlineStr">
        <is>
          <t>Não</t>
        </is>
      </c>
      <c r="F1716" s="8" t="n">
        <v>29</v>
      </c>
      <c r="G1716" s="8" t="n">
        <v>17</v>
      </c>
      <c r="H1716" s="9">
        <f>IF(F1716=0,"",G1716/F1716)</f>
        <v/>
      </c>
    </row>
    <row r="1717">
      <c r="A1717" s="10" t="inlineStr">
        <is>
          <t>Simulado 02</t>
        </is>
      </c>
      <c r="B1717" s="11" t="n">
        <v>57</v>
      </c>
      <c r="C1717" s="11" t="inlineStr">
        <is>
          <t>11ª Fase</t>
        </is>
      </c>
      <c r="D1717" s="11" t="inlineStr">
        <is>
          <t>E</t>
        </is>
      </c>
      <c r="E1717" s="11" t="inlineStr">
        <is>
          <t>Sim</t>
        </is>
      </c>
      <c r="F1717" s="11" t="n">
        <v>29</v>
      </c>
      <c r="G1717" s="11" t="n">
        <v>6</v>
      </c>
      <c r="H1717" s="12">
        <f>IF(F1717=0,"",G1717/F1717)</f>
        <v/>
      </c>
    </row>
    <row r="1718">
      <c r="A1718" s="7" t="inlineStr">
        <is>
          <t>Simulado 02</t>
        </is>
      </c>
      <c r="B1718" s="8" t="n">
        <v>58</v>
      </c>
      <c r="C1718" s="8" t="inlineStr">
        <is>
          <t>6ª Fase</t>
        </is>
      </c>
      <c r="D1718" s="8" t="inlineStr">
        <is>
          <t>A</t>
        </is>
      </c>
      <c r="E1718" s="8" t="inlineStr">
        <is>
          <t>Não</t>
        </is>
      </c>
      <c r="F1718" s="8" t="n">
        <v>28</v>
      </c>
      <c r="G1718" s="8" t="n">
        <v>0</v>
      </c>
      <c r="H1718" s="9">
        <f>IF(F1718=0,"",G1718/F1718)</f>
        <v/>
      </c>
    </row>
    <row r="1719">
      <c r="A1719" s="10" t="inlineStr">
        <is>
          <t>Simulado 02</t>
        </is>
      </c>
      <c r="B1719" s="11" t="n">
        <v>58</v>
      </c>
      <c r="C1719" s="11" t="inlineStr">
        <is>
          <t>6ª Fase</t>
        </is>
      </c>
      <c r="D1719" s="11" t="inlineStr">
        <is>
          <t>B</t>
        </is>
      </c>
      <c r="E1719" s="11" t="inlineStr">
        <is>
          <t>Não</t>
        </is>
      </c>
      <c r="F1719" s="11" t="n">
        <v>28</v>
      </c>
      <c r="G1719" s="11" t="n">
        <v>3</v>
      </c>
      <c r="H1719" s="12">
        <f>IF(F1719=0,"",G1719/F1719)</f>
        <v/>
      </c>
    </row>
    <row r="1720">
      <c r="A1720" s="7" t="inlineStr">
        <is>
          <t>Simulado 02</t>
        </is>
      </c>
      <c r="B1720" s="8" t="n">
        <v>58</v>
      </c>
      <c r="C1720" s="8" t="inlineStr">
        <is>
          <t>6ª Fase</t>
        </is>
      </c>
      <c r="D1720" s="8" t="inlineStr">
        <is>
          <t>C</t>
        </is>
      </c>
      <c r="E1720" s="8" t="inlineStr">
        <is>
          <t>Não</t>
        </is>
      </c>
      <c r="F1720" s="8" t="n">
        <v>28</v>
      </c>
      <c r="G1720" s="8" t="n">
        <v>1</v>
      </c>
      <c r="H1720" s="9">
        <f>IF(F1720=0,"",G1720/F1720)</f>
        <v/>
      </c>
    </row>
    <row r="1721">
      <c r="A1721" s="10" t="inlineStr">
        <is>
          <t>Simulado 02</t>
        </is>
      </c>
      <c r="B1721" s="11" t="n">
        <v>58</v>
      </c>
      <c r="C1721" s="11" t="inlineStr">
        <is>
          <t>6ª Fase</t>
        </is>
      </c>
      <c r="D1721" s="11" t="inlineStr">
        <is>
          <t>D</t>
        </is>
      </c>
      <c r="E1721" s="11" t="inlineStr">
        <is>
          <t>Sim</t>
        </is>
      </c>
      <c r="F1721" s="11" t="n">
        <v>28</v>
      </c>
      <c r="G1721" s="11" t="n">
        <v>20</v>
      </c>
      <c r="H1721" s="12">
        <f>IF(F1721=0,"",G1721/F1721)</f>
        <v/>
      </c>
    </row>
    <row r="1722">
      <c r="A1722" s="7" t="inlineStr">
        <is>
          <t>Simulado 02</t>
        </is>
      </c>
      <c r="B1722" s="8" t="n">
        <v>58</v>
      </c>
      <c r="C1722" s="8" t="inlineStr">
        <is>
          <t>6ª Fase</t>
        </is>
      </c>
      <c r="D1722" s="8" t="inlineStr">
        <is>
          <t>E</t>
        </is>
      </c>
      <c r="E1722" s="8" t="inlineStr">
        <is>
          <t>Não</t>
        </is>
      </c>
      <c r="F1722" s="8" t="n">
        <v>28</v>
      </c>
      <c r="G1722" s="8" t="n">
        <v>4</v>
      </c>
      <c r="H1722" s="9">
        <f>IF(F1722=0,"",G1722/F1722)</f>
        <v/>
      </c>
    </row>
    <row r="1723">
      <c r="A1723" s="10" t="inlineStr">
        <is>
          <t>Simulado 02</t>
        </is>
      </c>
      <c r="B1723" s="11" t="n">
        <v>58</v>
      </c>
      <c r="C1723" s="11" t="inlineStr">
        <is>
          <t>7ª Fase</t>
        </is>
      </c>
      <c r="D1723" s="11" t="inlineStr">
        <is>
          <t>A</t>
        </is>
      </c>
      <c r="E1723" s="11" t="inlineStr">
        <is>
          <t>Não</t>
        </is>
      </c>
      <c r="F1723" s="11" t="n">
        <v>32</v>
      </c>
      <c r="G1723" s="11" t="n">
        <v>1</v>
      </c>
      <c r="H1723" s="12">
        <f>IF(F1723=0,"",G1723/F1723)</f>
        <v/>
      </c>
    </row>
    <row r="1724">
      <c r="A1724" s="7" t="inlineStr">
        <is>
          <t>Simulado 02</t>
        </is>
      </c>
      <c r="B1724" s="8" t="n">
        <v>58</v>
      </c>
      <c r="C1724" s="8" t="inlineStr">
        <is>
          <t>7ª Fase</t>
        </is>
      </c>
      <c r="D1724" s="8" t="inlineStr">
        <is>
          <t>B</t>
        </is>
      </c>
      <c r="E1724" s="8" t="inlineStr">
        <is>
          <t>Não</t>
        </is>
      </c>
      <c r="F1724" s="8" t="n">
        <v>32</v>
      </c>
      <c r="G1724" s="8" t="n">
        <v>1</v>
      </c>
      <c r="H1724" s="9">
        <f>IF(F1724=0,"",G1724/F1724)</f>
        <v/>
      </c>
    </row>
    <row r="1725">
      <c r="A1725" s="10" t="inlineStr">
        <is>
          <t>Simulado 02</t>
        </is>
      </c>
      <c r="B1725" s="11" t="n">
        <v>58</v>
      </c>
      <c r="C1725" s="11" t="inlineStr">
        <is>
          <t>7ª Fase</t>
        </is>
      </c>
      <c r="D1725" s="11" t="inlineStr">
        <is>
          <t>C</t>
        </is>
      </c>
      <c r="E1725" s="11" t="inlineStr">
        <is>
          <t>Não</t>
        </is>
      </c>
      <c r="F1725" s="11" t="n">
        <v>32</v>
      </c>
      <c r="G1725" s="11" t="n">
        <v>2</v>
      </c>
      <c r="H1725" s="12">
        <f>IF(F1725=0,"",G1725/F1725)</f>
        <v/>
      </c>
    </row>
    <row r="1726">
      <c r="A1726" s="7" t="inlineStr">
        <is>
          <t>Simulado 02</t>
        </is>
      </c>
      <c r="B1726" s="8" t="n">
        <v>58</v>
      </c>
      <c r="C1726" s="8" t="inlineStr">
        <is>
          <t>7ª Fase</t>
        </is>
      </c>
      <c r="D1726" s="8" t="inlineStr">
        <is>
          <t>D</t>
        </is>
      </c>
      <c r="E1726" s="8" t="inlineStr">
        <is>
          <t>Sim</t>
        </is>
      </c>
      <c r="F1726" s="8" t="n">
        <v>32</v>
      </c>
      <c r="G1726" s="8" t="n">
        <v>18</v>
      </c>
      <c r="H1726" s="9">
        <f>IF(F1726=0,"",G1726/F1726)</f>
        <v/>
      </c>
    </row>
    <row r="1727">
      <c r="A1727" s="10" t="inlineStr">
        <is>
          <t>Simulado 02</t>
        </is>
      </c>
      <c r="B1727" s="11" t="n">
        <v>58</v>
      </c>
      <c r="C1727" s="11" t="inlineStr">
        <is>
          <t>7ª Fase</t>
        </is>
      </c>
      <c r="D1727" s="11" t="inlineStr">
        <is>
          <t>E</t>
        </is>
      </c>
      <c r="E1727" s="11" t="inlineStr">
        <is>
          <t>Não</t>
        </is>
      </c>
      <c r="F1727" s="11" t="n">
        <v>32</v>
      </c>
      <c r="G1727" s="11" t="n">
        <v>10</v>
      </c>
      <c r="H1727" s="12">
        <f>IF(F1727=0,"",G1727/F1727)</f>
        <v/>
      </c>
    </row>
    <row r="1728">
      <c r="A1728" s="7" t="inlineStr">
        <is>
          <t>Simulado 02</t>
        </is>
      </c>
      <c r="B1728" s="8" t="n">
        <v>58</v>
      </c>
      <c r="C1728" s="8" t="inlineStr">
        <is>
          <t>10ª Fase</t>
        </is>
      </c>
      <c r="D1728" s="8" t="inlineStr">
        <is>
          <t>A</t>
        </is>
      </c>
      <c r="E1728" s="8" t="inlineStr">
        <is>
          <t>Não</t>
        </is>
      </c>
      <c r="F1728" s="8" t="n">
        <v>31</v>
      </c>
      <c r="G1728" s="8" t="n">
        <v>0</v>
      </c>
      <c r="H1728" s="9">
        <f>IF(F1728=0,"",G1728/F1728)</f>
        <v/>
      </c>
    </row>
    <row r="1729">
      <c r="A1729" s="10" t="inlineStr">
        <is>
          <t>Simulado 02</t>
        </is>
      </c>
      <c r="B1729" s="11" t="n">
        <v>58</v>
      </c>
      <c r="C1729" s="11" t="inlineStr">
        <is>
          <t>10ª Fase</t>
        </is>
      </c>
      <c r="D1729" s="11" t="inlineStr">
        <is>
          <t>B</t>
        </is>
      </c>
      <c r="E1729" s="11" t="inlineStr">
        <is>
          <t>Não</t>
        </is>
      </c>
      <c r="F1729" s="11" t="n">
        <v>31</v>
      </c>
      <c r="G1729" s="11" t="n">
        <v>2</v>
      </c>
      <c r="H1729" s="12">
        <f>IF(F1729=0,"",G1729/F1729)</f>
        <v/>
      </c>
    </row>
    <row r="1730">
      <c r="A1730" s="7" t="inlineStr">
        <is>
          <t>Simulado 02</t>
        </is>
      </c>
      <c r="B1730" s="8" t="n">
        <v>58</v>
      </c>
      <c r="C1730" s="8" t="inlineStr">
        <is>
          <t>10ª Fase</t>
        </is>
      </c>
      <c r="D1730" s="8" t="inlineStr">
        <is>
          <t>C</t>
        </is>
      </c>
      <c r="E1730" s="8" t="inlineStr">
        <is>
          <t>Não</t>
        </is>
      </c>
      <c r="F1730" s="8" t="n">
        <v>31</v>
      </c>
      <c r="G1730" s="8" t="n">
        <v>0</v>
      </c>
      <c r="H1730" s="9">
        <f>IF(F1730=0,"",G1730/F1730)</f>
        <v/>
      </c>
    </row>
    <row r="1731">
      <c r="A1731" s="10" t="inlineStr">
        <is>
          <t>Simulado 02</t>
        </is>
      </c>
      <c r="B1731" s="11" t="n">
        <v>58</v>
      </c>
      <c r="C1731" s="11" t="inlineStr">
        <is>
          <t>10ª Fase</t>
        </is>
      </c>
      <c r="D1731" s="11" t="inlineStr">
        <is>
          <t>D</t>
        </is>
      </c>
      <c r="E1731" s="11" t="inlineStr">
        <is>
          <t>Sim</t>
        </is>
      </c>
      <c r="F1731" s="11" t="n">
        <v>31</v>
      </c>
      <c r="G1731" s="11" t="n">
        <v>18</v>
      </c>
      <c r="H1731" s="12">
        <f>IF(F1731=0,"",G1731/F1731)</f>
        <v/>
      </c>
    </row>
    <row r="1732">
      <c r="A1732" s="7" t="inlineStr">
        <is>
          <t>Simulado 02</t>
        </is>
      </c>
      <c r="B1732" s="8" t="n">
        <v>58</v>
      </c>
      <c r="C1732" s="8" t="inlineStr">
        <is>
          <t>10ª Fase</t>
        </is>
      </c>
      <c r="D1732" s="8" t="inlineStr">
        <is>
          <t>E</t>
        </is>
      </c>
      <c r="E1732" s="8" t="inlineStr">
        <is>
          <t>Não</t>
        </is>
      </c>
      <c r="F1732" s="8" t="n">
        <v>31</v>
      </c>
      <c r="G1732" s="8" t="n">
        <v>11</v>
      </c>
      <c r="H1732" s="9">
        <f>IF(F1732=0,"",G1732/F1732)</f>
        <v/>
      </c>
    </row>
    <row r="1733">
      <c r="A1733" s="10" t="inlineStr">
        <is>
          <t>Simulado 02</t>
        </is>
      </c>
      <c r="B1733" s="11" t="n">
        <v>58</v>
      </c>
      <c r="C1733" s="11" t="inlineStr">
        <is>
          <t>11ª Fase</t>
        </is>
      </c>
      <c r="D1733" s="11" t="inlineStr">
        <is>
          <t>A</t>
        </is>
      </c>
      <c r="E1733" s="11" t="inlineStr">
        <is>
          <t>Não</t>
        </is>
      </c>
      <c r="F1733" s="11" t="n">
        <v>29</v>
      </c>
      <c r="G1733" s="11" t="n">
        <v>0</v>
      </c>
      <c r="H1733" s="12">
        <f>IF(F1733=0,"",G1733/F1733)</f>
        <v/>
      </c>
    </row>
    <row r="1734">
      <c r="A1734" s="7" t="inlineStr">
        <is>
          <t>Simulado 02</t>
        </is>
      </c>
      <c r="B1734" s="8" t="n">
        <v>58</v>
      </c>
      <c r="C1734" s="8" t="inlineStr">
        <is>
          <t>11ª Fase</t>
        </is>
      </c>
      <c r="D1734" s="8" t="inlineStr">
        <is>
          <t>B</t>
        </is>
      </c>
      <c r="E1734" s="8" t="inlineStr">
        <is>
          <t>Não</t>
        </is>
      </c>
      <c r="F1734" s="8" t="n">
        <v>29</v>
      </c>
      <c r="G1734" s="8" t="n">
        <v>0</v>
      </c>
      <c r="H1734" s="9">
        <f>IF(F1734=0,"",G1734/F1734)</f>
        <v/>
      </c>
    </row>
    <row r="1735">
      <c r="A1735" s="10" t="inlineStr">
        <is>
          <t>Simulado 02</t>
        </is>
      </c>
      <c r="B1735" s="11" t="n">
        <v>58</v>
      </c>
      <c r="C1735" s="11" t="inlineStr">
        <is>
          <t>11ª Fase</t>
        </is>
      </c>
      <c r="D1735" s="11" t="inlineStr">
        <is>
          <t>C</t>
        </is>
      </c>
      <c r="E1735" s="11" t="inlineStr">
        <is>
          <t>Não</t>
        </is>
      </c>
      <c r="F1735" s="11" t="n">
        <v>29</v>
      </c>
      <c r="G1735" s="11" t="n">
        <v>0</v>
      </c>
      <c r="H1735" s="12">
        <f>IF(F1735=0,"",G1735/F1735)</f>
        <v/>
      </c>
    </row>
    <row r="1736">
      <c r="A1736" s="7" t="inlineStr">
        <is>
          <t>Simulado 02</t>
        </is>
      </c>
      <c r="B1736" s="8" t="n">
        <v>58</v>
      </c>
      <c r="C1736" s="8" t="inlineStr">
        <is>
          <t>11ª Fase</t>
        </is>
      </c>
      <c r="D1736" s="8" t="inlineStr">
        <is>
          <t>D</t>
        </is>
      </c>
      <c r="E1736" s="8" t="inlineStr">
        <is>
          <t>Sim</t>
        </is>
      </c>
      <c r="F1736" s="8" t="n">
        <v>29</v>
      </c>
      <c r="G1736" s="8" t="n">
        <v>21</v>
      </c>
      <c r="H1736" s="9">
        <f>IF(F1736=0,"",G1736/F1736)</f>
        <v/>
      </c>
    </row>
    <row r="1737">
      <c r="A1737" s="10" t="inlineStr">
        <is>
          <t>Simulado 02</t>
        </is>
      </c>
      <c r="B1737" s="11" t="n">
        <v>58</v>
      </c>
      <c r="C1737" s="11" t="inlineStr">
        <is>
          <t>11ª Fase</t>
        </is>
      </c>
      <c r="D1737" s="11" t="inlineStr">
        <is>
          <t>E</t>
        </is>
      </c>
      <c r="E1737" s="11" t="inlineStr">
        <is>
          <t>Não</t>
        </is>
      </c>
      <c r="F1737" s="11" t="n">
        <v>29</v>
      </c>
      <c r="G1737" s="11" t="n">
        <v>8</v>
      </c>
      <c r="H1737" s="12">
        <f>IF(F1737=0,"",G1737/F1737)</f>
        <v/>
      </c>
    </row>
    <row r="1738">
      <c r="A1738" s="7" t="inlineStr">
        <is>
          <t>Simulado 02</t>
        </is>
      </c>
      <c r="B1738" s="8" t="n">
        <v>59</v>
      </c>
      <c r="C1738" s="8" t="inlineStr">
        <is>
          <t>6ª Fase</t>
        </is>
      </c>
      <c r="D1738" s="8" t="inlineStr">
        <is>
          <t>A</t>
        </is>
      </c>
      <c r="E1738" s="8" t="inlineStr">
        <is>
          <t>Não</t>
        </is>
      </c>
      <c r="F1738" s="8" t="n">
        <v>28</v>
      </c>
      <c r="G1738" s="8" t="n">
        <v>4</v>
      </c>
      <c r="H1738" s="9">
        <f>IF(F1738=0,"",G1738/F1738)</f>
        <v/>
      </c>
    </row>
    <row r="1739">
      <c r="A1739" s="10" t="inlineStr">
        <is>
          <t>Simulado 02</t>
        </is>
      </c>
      <c r="B1739" s="11" t="n">
        <v>59</v>
      </c>
      <c r="C1739" s="11" t="inlineStr">
        <is>
          <t>6ª Fase</t>
        </is>
      </c>
      <c r="D1739" s="11" t="inlineStr">
        <is>
          <t>B</t>
        </is>
      </c>
      <c r="E1739" s="11" t="inlineStr">
        <is>
          <t>Sim</t>
        </is>
      </c>
      <c r="F1739" s="11" t="n">
        <v>28</v>
      </c>
      <c r="G1739" s="11" t="n">
        <v>4</v>
      </c>
      <c r="H1739" s="12">
        <f>IF(F1739=0,"",G1739/F1739)</f>
        <v/>
      </c>
    </row>
    <row r="1740">
      <c r="A1740" s="7" t="inlineStr">
        <is>
          <t>Simulado 02</t>
        </is>
      </c>
      <c r="B1740" s="8" t="n">
        <v>59</v>
      </c>
      <c r="C1740" s="8" t="inlineStr">
        <is>
          <t>6ª Fase</t>
        </is>
      </c>
      <c r="D1740" s="8" t="inlineStr">
        <is>
          <t>C</t>
        </is>
      </c>
      <c r="E1740" s="8" t="inlineStr">
        <is>
          <t>Não</t>
        </is>
      </c>
      <c r="F1740" s="8" t="n">
        <v>28</v>
      </c>
      <c r="G1740" s="8" t="n">
        <v>16</v>
      </c>
      <c r="H1740" s="9">
        <f>IF(F1740=0,"",G1740/F1740)</f>
        <v/>
      </c>
    </row>
    <row r="1741">
      <c r="A1741" s="10" t="inlineStr">
        <is>
          <t>Simulado 02</t>
        </is>
      </c>
      <c r="B1741" s="11" t="n">
        <v>59</v>
      </c>
      <c r="C1741" s="11" t="inlineStr">
        <is>
          <t>6ª Fase</t>
        </is>
      </c>
      <c r="D1741" s="11" t="inlineStr">
        <is>
          <t>D</t>
        </is>
      </c>
      <c r="E1741" s="11" t="inlineStr">
        <is>
          <t>Não</t>
        </is>
      </c>
      <c r="F1741" s="11" t="n">
        <v>28</v>
      </c>
      <c r="G1741" s="11" t="n">
        <v>4</v>
      </c>
      <c r="H1741" s="12">
        <f>IF(F1741=0,"",G1741/F1741)</f>
        <v/>
      </c>
    </row>
    <row r="1742">
      <c r="A1742" s="7" t="inlineStr">
        <is>
          <t>Simulado 02</t>
        </is>
      </c>
      <c r="B1742" s="8" t="n">
        <v>59</v>
      </c>
      <c r="C1742" s="8" t="inlineStr">
        <is>
          <t>7ª Fase</t>
        </is>
      </c>
      <c r="D1742" s="8" t="inlineStr">
        <is>
          <t>A</t>
        </is>
      </c>
      <c r="E1742" s="8" t="inlineStr">
        <is>
          <t>Não</t>
        </is>
      </c>
      <c r="F1742" s="8" t="n">
        <v>32</v>
      </c>
      <c r="G1742" s="8" t="n">
        <v>1</v>
      </c>
      <c r="H1742" s="9">
        <f>IF(F1742=0,"",G1742/F1742)</f>
        <v/>
      </c>
    </row>
    <row r="1743">
      <c r="A1743" s="10" t="inlineStr">
        <is>
          <t>Simulado 02</t>
        </is>
      </c>
      <c r="B1743" s="11" t="n">
        <v>59</v>
      </c>
      <c r="C1743" s="11" t="inlineStr">
        <is>
          <t>7ª Fase</t>
        </is>
      </c>
      <c r="D1743" s="11" t="inlineStr">
        <is>
          <t>B</t>
        </is>
      </c>
      <c r="E1743" s="11" t="inlineStr">
        <is>
          <t>Sim</t>
        </is>
      </c>
      <c r="F1743" s="11" t="n">
        <v>32</v>
      </c>
      <c r="G1743" s="11" t="n">
        <v>5</v>
      </c>
      <c r="H1743" s="12">
        <f>IF(F1743=0,"",G1743/F1743)</f>
        <v/>
      </c>
    </row>
    <row r="1744">
      <c r="A1744" s="7" t="inlineStr">
        <is>
          <t>Simulado 02</t>
        </is>
      </c>
      <c r="B1744" s="8" t="n">
        <v>59</v>
      </c>
      <c r="C1744" s="8" t="inlineStr">
        <is>
          <t>7ª Fase</t>
        </is>
      </c>
      <c r="D1744" s="8" t="inlineStr">
        <is>
          <t>C</t>
        </is>
      </c>
      <c r="E1744" s="8" t="inlineStr">
        <is>
          <t>Não</t>
        </is>
      </c>
      <c r="F1744" s="8" t="n">
        <v>32</v>
      </c>
      <c r="G1744" s="8" t="n">
        <v>25</v>
      </c>
      <c r="H1744" s="9">
        <f>IF(F1744=0,"",G1744/F1744)</f>
        <v/>
      </c>
    </row>
    <row r="1745">
      <c r="A1745" s="10" t="inlineStr">
        <is>
          <t>Simulado 02</t>
        </is>
      </c>
      <c r="B1745" s="11" t="n">
        <v>59</v>
      </c>
      <c r="C1745" s="11" t="inlineStr">
        <is>
          <t>7ª Fase</t>
        </is>
      </c>
      <c r="D1745" s="11" t="inlineStr">
        <is>
          <t>D</t>
        </is>
      </c>
      <c r="E1745" s="11" t="inlineStr">
        <is>
          <t>Não</t>
        </is>
      </c>
      <c r="F1745" s="11" t="n">
        <v>32</v>
      </c>
      <c r="G1745" s="11" t="n">
        <v>1</v>
      </c>
      <c r="H1745" s="12">
        <f>IF(F1745=0,"",G1745/F1745)</f>
        <v/>
      </c>
    </row>
    <row r="1746">
      <c r="A1746" s="7" t="inlineStr">
        <is>
          <t>Simulado 02</t>
        </is>
      </c>
      <c r="B1746" s="8" t="n">
        <v>59</v>
      </c>
      <c r="C1746" s="8" t="inlineStr">
        <is>
          <t>10ª Fase</t>
        </is>
      </c>
      <c r="D1746" s="8" t="inlineStr">
        <is>
          <t>A</t>
        </is>
      </c>
      <c r="E1746" s="8" t="inlineStr">
        <is>
          <t>Não</t>
        </is>
      </c>
      <c r="F1746" s="8" t="n">
        <v>31</v>
      </c>
      <c r="G1746" s="8" t="n">
        <v>1</v>
      </c>
      <c r="H1746" s="9">
        <f>IF(F1746=0,"",G1746/F1746)</f>
        <v/>
      </c>
    </row>
    <row r="1747">
      <c r="A1747" s="10" t="inlineStr">
        <is>
          <t>Simulado 02</t>
        </is>
      </c>
      <c r="B1747" s="11" t="n">
        <v>59</v>
      </c>
      <c r="C1747" s="11" t="inlineStr">
        <is>
          <t>10ª Fase</t>
        </is>
      </c>
      <c r="D1747" s="11" t="inlineStr">
        <is>
          <t>B</t>
        </is>
      </c>
      <c r="E1747" s="11" t="inlineStr">
        <is>
          <t>Sim</t>
        </is>
      </c>
      <c r="F1747" s="11" t="n">
        <v>31</v>
      </c>
      <c r="G1747" s="11" t="n">
        <v>1</v>
      </c>
      <c r="H1747" s="12">
        <f>IF(F1747=0,"",G1747/F1747)</f>
        <v/>
      </c>
    </row>
    <row r="1748">
      <c r="A1748" s="7" t="inlineStr">
        <is>
          <t>Simulado 02</t>
        </is>
      </c>
      <c r="B1748" s="8" t="n">
        <v>59</v>
      </c>
      <c r="C1748" s="8" t="inlineStr">
        <is>
          <t>10ª Fase</t>
        </is>
      </c>
      <c r="D1748" s="8" t="inlineStr">
        <is>
          <t>C</t>
        </is>
      </c>
      <c r="E1748" s="8" t="inlineStr">
        <is>
          <t>Não</t>
        </is>
      </c>
      <c r="F1748" s="8" t="n">
        <v>31</v>
      </c>
      <c r="G1748" s="8" t="n">
        <v>28</v>
      </c>
      <c r="H1748" s="9">
        <f>IF(F1748=0,"",G1748/F1748)</f>
        <v/>
      </c>
    </row>
    <row r="1749">
      <c r="A1749" s="10" t="inlineStr">
        <is>
          <t>Simulado 02</t>
        </is>
      </c>
      <c r="B1749" s="11" t="n">
        <v>59</v>
      </c>
      <c r="C1749" s="11" t="inlineStr">
        <is>
          <t>10ª Fase</t>
        </is>
      </c>
      <c r="D1749" s="11" t="inlineStr">
        <is>
          <t>D</t>
        </is>
      </c>
      <c r="E1749" s="11" t="inlineStr">
        <is>
          <t>Não</t>
        </is>
      </c>
      <c r="F1749" s="11" t="n">
        <v>31</v>
      </c>
      <c r="G1749" s="11" t="n">
        <v>1</v>
      </c>
      <c r="H1749" s="12">
        <f>IF(F1749=0,"",G1749/F1749)</f>
        <v/>
      </c>
    </row>
    <row r="1750">
      <c r="A1750" s="7" t="inlineStr">
        <is>
          <t>Simulado 02</t>
        </is>
      </c>
      <c r="B1750" s="8" t="n">
        <v>59</v>
      </c>
      <c r="C1750" s="8" t="inlineStr">
        <is>
          <t>11ª Fase</t>
        </is>
      </c>
      <c r="D1750" s="8" t="inlineStr">
        <is>
          <t>A</t>
        </is>
      </c>
      <c r="E1750" s="8" t="inlineStr">
        <is>
          <t>Não</t>
        </is>
      </c>
      <c r="F1750" s="8" t="n">
        <v>29</v>
      </c>
      <c r="G1750" s="8" t="n">
        <v>1</v>
      </c>
      <c r="H1750" s="9">
        <f>IF(F1750=0,"",G1750/F1750)</f>
        <v/>
      </c>
    </row>
    <row r="1751">
      <c r="A1751" s="10" t="inlineStr">
        <is>
          <t>Simulado 02</t>
        </is>
      </c>
      <c r="B1751" s="11" t="n">
        <v>59</v>
      </c>
      <c r="C1751" s="11" t="inlineStr">
        <is>
          <t>11ª Fase</t>
        </is>
      </c>
      <c r="D1751" s="11" t="inlineStr">
        <is>
          <t>B</t>
        </is>
      </c>
      <c r="E1751" s="11" t="inlineStr">
        <is>
          <t>Sim</t>
        </is>
      </c>
      <c r="F1751" s="11" t="n">
        <v>29</v>
      </c>
      <c r="G1751" s="11" t="n">
        <v>1</v>
      </c>
      <c r="H1751" s="12">
        <f>IF(F1751=0,"",G1751/F1751)</f>
        <v/>
      </c>
    </row>
    <row r="1752">
      <c r="A1752" s="7" t="inlineStr">
        <is>
          <t>Simulado 02</t>
        </is>
      </c>
      <c r="B1752" s="8" t="n">
        <v>59</v>
      </c>
      <c r="C1752" s="8" t="inlineStr">
        <is>
          <t>11ª Fase</t>
        </is>
      </c>
      <c r="D1752" s="8" t="inlineStr">
        <is>
          <t>C</t>
        </is>
      </c>
      <c r="E1752" s="8" t="inlineStr">
        <is>
          <t>Não</t>
        </is>
      </c>
      <c r="F1752" s="8" t="n">
        <v>29</v>
      </c>
      <c r="G1752" s="8" t="n">
        <v>25</v>
      </c>
      <c r="H1752" s="9">
        <f>IF(F1752=0,"",G1752/F1752)</f>
        <v/>
      </c>
    </row>
    <row r="1753">
      <c r="A1753" s="10" t="inlineStr">
        <is>
          <t>Simulado 02</t>
        </is>
      </c>
      <c r="B1753" s="11" t="n">
        <v>59</v>
      </c>
      <c r="C1753" s="11" t="inlineStr">
        <is>
          <t>11ª Fase</t>
        </is>
      </c>
      <c r="D1753" s="11" t="inlineStr">
        <is>
          <t>D</t>
        </is>
      </c>
      <c r="E1753" s="11" t="inlineStr">
        <is>
          <t>Não</t>
        </is>
      </c>
      <c r="F1753" s="11" t="n">
        <v>29</v>
      </c>
      <c r="G1753" s="11" t="n">
        <v>2</v>
      </c>
      <c r="H1753" s="12">
        <f>IF(F1753=0,"",G1753/F1753)</f>
        <v/>
      </c>
    </row>
    <row r="1754">
      <c r="A1754" s="7" t="inlineStr">
        <is>
          <t>Simulado 02</t>
        </is>
      </c>
      <c r="B1754" s="8" t="n">
        <v>60</v>
      </c>
      <c r="C1754" s="8" t="inlineStr">
        <is>
          <t>6ª Fase</t>
        </is>
      </c>
      <c r="D1754" s="8" t="inlineStr">
        <is>
          <t>A</t>
        </is>
      </c>
      <c r="E1754" s="8" t="inlineStr">
        <is>
          <t>Não</t>
        </is>
      </c>
      <c r="F1754" s="8" t="n">
        <v>28</v>
      </c>
      <c r="G1754" s="8" t="n">
        <v>6</v>
      </c>
      <c r="H1754" s="9">
        <f>IF(F1754=0,"",G1754/F1754)</f>
        <v/>
      </c>
    </row>
    <row r="1755">
      <c r="A1755" s="10" t="inlineStr">
        <is>
          <t>Simulado 02</t>
        </is>
      </c>
      <c r="B1755" s="11" t="n">
        <v>60</v>
      </c>
      <c r="C1755" s="11" t="inlineStr">
        <is>
          <t>6ª Fase</t>
        </is>
      </c>
      <c r="D1755" s="11" t="inlineStr">
        <is>
          <t>B</t>
        </is>
      </c>
      <c r="E1755" s="11" t="inlineStr">
        <is>
          <t>Não</t>
        </is>
      </c>
      <c r="F1755" s="11" t="n">
        <v>28</v>
      </c>
      <c r="G1755" s="11" t="n">
        <v>8</v>
      </c>
      <c r="H1755" s="12">
        <f>IF(F1755=0,"",G1755/F1755)</f>
        <v/>
      </c>
    </row>
    <row r="1756">
      <c r="A1756" s="7" t="inlineStr">
        <is>
          <t>Simulado 02</t>
        </is>
      </c>
      <c r="B1756" s="8" t="n">
        <v>60</v>
      </c>
      <c r="C1756" s="8" t="inlineStr">
        <is>
          <t>6ª Fase</t>
        </is>
      </c>
      <c r="D1756" s="8" t="inlineStr">
        <is>
          <t>C</t>
        </is>
      </c>
      <c r="E1756" s="8" t="inlineStr">
        <is>
          <t>Sim</t>
        </is>
      </c>
      <c r="F1756" s="8" t="n">
        <v>28</v>
      </c>
      <c r="G1756" s="8" t="n">
        <v>13</v>
      </c>
      <c r="H1756" s="9">
        <f>IF(F1756=0,"",G1756/F1756)</f>
        <v/>
      </c>
    </row>
    <row r="1757">
      <c r="A1757" s="10" t="inlineStr">
        <is>
          <t>Simulado 02</t>
        </is>
      </c>
      <c r="B1757" s="11" t="n">
        <v>60</v>
      </c>
      <c r="C1757" s="11" t="inlineStr">
        <is>
          <t>6ª Fase</t>
        </is>
      </c>
      <c r="D1757" s="11" t="inlineStr">
        <is>
          <t>D</t>
        </is>
      </c>
      <c r="E1757" s="11" t="inlineStr">
        <is>
          <t>Não</t>
        </is>
      </c>
      <c r="F1757" s="11" t="n">
        <v>28</v>
      </c>
      <c r="G1757" s="11" t="n">
        <v>1</v>
      </c>
      <c r="H1757" s="12">
        <f>IF(F1757=0,"",G1757/F1757)</f>
        <v/>
      </c>
    </row>
    <row r="1758">
      <c r="A1758" s="7" t="inlineStr">
        <is>
          <t>Simulado 02</t>
        </is>
      </c>
      <c r="B1758" s="8" t="n">
        <v>60</v>
      </c>
      <c r="C1758" s="8" t="inlineStr">
        <is>
          <t>7ª Fase</t>
        </is>
      </c>
      <c r="D1758" s="8" t="inlineStr">
        <is>
          <t>A</t>
        </is>
      </c>
      <c r="E1758" s="8" t="inlineStr">
        <is>
          <t>Não</t>
        </is>
      </c>
      <c r="F1758" s="8" t="n">
        <v>32</v>
      </c>
      <c r="G1758" s="8" t="n">
        <v>2</v>
      </c>
      <c r="H1758" s="9">
        <f>IF(F1758=0,"",G1758/F1758)</f>
        <v/>
      </c>
    </row>
    <row r="1759">
      <c r="A1759" s="10" t="inlineStr">
        <is>
          <t>Simulado 02</t>
        </is>
      </c>
      <c r="B1759" s="11" t="n">
        <v>60</v>
      </c>
      <c r="C1759" s="11" t="inlineStr">
        <is>
          <t>7ª Fase</t>
        </is>
      </c>
      <c r="D1759" s="11" t="inlineStr">
        <is>
          <t>B</t>
        </is>
      </c>
      <c r="E1759" s="11" t="inlineStr">
        <is>
          <t>Não</t>
        </is>
      </c>
      <c r="F1759" s="11" t="n">
        <v>32</v>
      </c>
      <c r="G1759" s="11" t="n">
        <v>7</v>
      </c>
      <c r="H1759" s="12">
        <f>IF(F1759=0,"",G1759/F1759)</f>
        <v/>
      </c>
    </row>
    <row r="1760">
      <c r="A1760" s="7" t="inlineStr">
        <is>
          <t>Simulado 02</t>
        </is>
      </c>
      <c r="B1760" s="8" t="n">
        <v>60</v>
      </c>
      <c r="C1760" s="8" t="inlineStr">
        <is>
          <t>7ª Fase</t>
        </is>
      </c>
      <c r="D1760" s="8" t="inlineStr">
        <is>
          <t>C</t>
        </is>
      </c>
      <c r="E1760" s="8" t="inlineStr">
        <is>
          <t>Sim</t>
        </is>
      </c>
      <c r="F1760" s="8" t="n">
        <v>32</v>
      </c>
      <c r="G1760" s="8" t="n">
        <v>22</v>
      </c>
      <c r="H1760" s="9">
        <f>IF(F1760=0,"",G1760/F1760)</f>
        <v/>
      </c>
    </row>
    <row r="1761">
      <c r="A1761" s="10" t="inlineStr">
        <is>
          <t>Simulado 02</t>
        </is>
      </c>
      <c r="B1761" s="11" t="n">
        <v>60</v>
      </c>
      <c r="C1761" s="11" t="inlineStr">
        <is>
          <t>7ª Fase</t>
        </is>
      </c>
      <c r="D1761" s="11" t="inlineStr">
        <is>
          <t>D</t>
        </is>
      </c>
      <c r="E1761" s="11" t="inlineStr">
        <is>
          <t>Não</t>
        </is>
      </c>
      <c r="F1761" s="11" t="n">
        <v>32</v>
      </c>
      <c r="G1761" s="11" t="n">
        <v>1</v>
      </c>
      <c r="H1761" s="12">
        <f>IF(F1761=0,"",G1761/F1761)</f>
        <v/>
      </c>
    </row>
    <row r="1762">
      <c r="A1762" s="7" t="inlineStr">
        <is>
          <t>Simulado 02</t>
        </is>
      </c>
      <c r="B1762" s="8" t="n">
        <v>60</v>
      </c>
      <c r="C1762" s="8" t="inlineStr">
        <is>
          <t>10ª Fase</t>
        </is>
      </c>
      <c r="D1762" s="8" t="inlineStr">
        <is>
          <t>A</t>
        </is>
      </c>
      <c r="E1762" s="8" t="inlineStr">
        <is>
          <t>Não</t>
        </is>
      </c>
      <c r="F1762" s="8" t="n">
        <v>31</v>
      </c>
      <c r="G1762" s="8" t="n">
        <v>1</v>
      </c>
      <c r="H1762" s="9">
        <f>IF(F1762=0,"",G1762/F1762)</f>
        <v/>
      </c>
    </row>
    <row r="1763">
      <c r="A1763" s="10" t="inlineStr">
        <is>
          <t>Simulado 02</t>
        </is>
      </c>
      <c r="B1763" s="11" t="n">
        <v>60</v>
      </c>
      <c r="C1763" s="11" t="inlineStr">
        <is>
          <t>10ª Fase</t>
        </is>
      </c>
      <c r="D1763" s="11" t="inlineStr">
        <is>
          <t>B</t>
        </is>
      </c>
      <c r="E1763" s="11" t="inlineStr">
        <is>
          <t>Não</t>
        </is>
      </c>
      <c r="F1763" s="11" t="n">
        <v>31</v>
      </c>
      <c r="G1763" s="11" t="n">
        <v>9</v>
      </c>
      <c r="H1763" s="12">
        <f>IF(F1763=0,"",G1763/F1763)</f>
        <v/>
      </c>
    </row>
    <row r="1764">
      <c r="A1764" s="7" t="inlineStr">
        <is>
          <t>Simulado 02</t>
        </is>
      </c>
      <c r="B1764" s="8" t="n">
        <v>60</v>
      </c>
      <c r="C1764" s="8" t="inlineStr">
        <is>
          <t>10ª Fase</t>
        </is>
      </c>
      <c r="D1764" s="8" t="inlineStr">
        <is>
          <t>C</t>
        </is>
      </c>
      <c r="E1764" s="8" t="inlineStr">
        <is>
          <t>Sim</t>
        </is>
      </c>
      <c r="F1764" s="8" t="n">
        <v>31</v>
      </c>
      <c r="G1764" s="8" t="n">
        <v>21</v>
      </c>
      <c r="H1764" s="9">
        <f>IF(F1764=0,"",G1764/F1764)</f>
        <v/>
      </c>
    </row>
    <row r="1765">
      <c r="A1765" s="10" t="inlineStr">
        <is>
          <t>Simulado 02</t>
        </is>
      </c>
      <c r="B1765" s="11" t="n">
        <v>60</v>
      </c>
      <c r="C1765" s="11" t="inlineStr">
        <is>
          <t>10ª Fase</t>
        </is>
      </c>
      <c r="D1765" s="11" t="inlineStr">
        <is>
          <t>D</t>
        </is>
      </c>
      <c r="E1765" s="11" t="inlineStr">
        <is>
          <t>Não</t>
        </is>
      </c>
      <c r="F1765" s="11" t="n">
        <v>31</v>
      </c>
      <c r="G1765" s="11" t="n">
        <v>0</v>
      </c>
      <c r="H1765" s="12">
        <f>IF(F1765=0,"",G1765/F1765)</f>
        <v/>
      </c>
    </row>
    <row r="1766">
      <c r="A1766" s="7" t="inlineStr">
        <is>
          <t>Simulado 02</t>
        </is>
      </c>
      <c r="B1766" s="8" t="n">
        <v>60</v>
      </c>
      <c r="C1766" s="8" t="inlineStr">
        <is>
          <t>11ª Fase</t>
        </is>
      </c>
      <c r="D1766" s="8" t="inlineStr">
        <is>
          <t>A</t>
        </is>
      </c>
      <c r="E1766" s="8" t="inlineStr">
        <is>
          <t>Não</t>
        </is>
      </c>
      <c r="F1766" s="8" t="n">
        <v>29</v>
      </c>
      <c r="G1766" s="8" t="n">
        <v>2</v>
      </c>
      <c r="H1766" s="9">
        <f>IF(F1766=0,"",G1766/F1766)</f>
        <v/>
      </c>
    </row>
    <row r="1767">
      <c r="A1767" s="10" t="inlineStr">
        <is>
          <t>Simulado 02</t>
        </is>
      </c>
      <c r="B1767" s="11" t="n">
        <v>60</v>
      </c>
      <c r="C1767" s="11" t="inlineStr">
        <is>
          <t>11ª Fase</t>
        </is>
      </c>
      <c r="D1767" s="11" t="inlineStr">
        <is>
          <t>B</t>
        </is>
      </c>
      <c r="E1767" s="11" t="inlineStr">
        <is>
          <t>Não</t>
        </is>
      </c>
      <c r="F1767" s="11" t="n">
        <v>29</v>
      </c>
      <c r="G1767" s="11" t="n">
        <v>8</v>
      </c>
      <c r="H1767" s="12">
        <f>IF(F1767=0,"",G1767/F1767)</f>
        <v/>
      </c>
    </row>
    <row r="1768">
      <c r="A1768" s="7" t="inlineStr">
        <is>
          <t>Simulado 02</t>
        </is>
      </c>
      <c r="B1768" s="8" t="n">
        <v>60</v>
      </c>
      <c r="C1768" s="8" t="inlineStr">
        <is>
          <t>11ª Fase</t>
        </is>
      </c>
      <c r="D1768" s="8" t="inlineStr">
        <is>
          <t>C</t>
        </is>
      </c>
      <c r="E1768" s="8" t="inlineStr">
        <is>
          <t>Sim</t>
        </is>
      </c>
      <c r="F1768" s="8" t="n">
        <v>29</v>
      </c>
      <c r="G1768" s="8" t="n">
        <v>19</v>
      </c>
      <c r="H1768" s="9">
        <f>IF(F1768=0,"",G1768/F1768)</f>
        <v/>
      </c>
    </row>
    <row r="1769">
      <c r="A1769" s="10" t="inlineStr">
        <is>
          <t>Simulado 02</t>
        </is>
      </c>
      <c r="B1769" s="11" t="n">
        <v>60</v>
      </c>
      <c r="C1769" s="11" t="inlineStr">
        <is>
          <t>11ª Fase</t>
        </is>
      </c>
      <c r="D1769" s="11" t="inlineStr">
        <is>
          <t>D</t>
        </is>
      </c>
      <c r="E1769" s="11" t="inlineStr">
        <is>
          <t>Não</t>
        </is>
      </c>
      <c r="F1769" s="11" t="n">
        <v>29</v>
      </c>
      <c r="G1769" s="11" t="n">
        <v>0</v>
      </c>
      <c r="H1769" s="12">
        <f>IF(F1769=0,"",G1769/F1769)</f>
        <v/>
      </c>
    </row>
  </sheetData>
  <autoFilter ref="A1:H176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  <col width="14" customWidth="1" min="5" max="5"/>
    <col width="11" customWidth="1" min="6" max="6"/>
    <col width="11" customWidth="1" min="7" max="7"/>
    <col width="10" customWidth="1" min="8" max="8"/>
    <col width="10" customWidth="1" min="9" max="9"/>
    <col width="14" customWidth="1" min="10" max="10"/>
    <col width="12" customWidth="1" min="11" max="11"/>
  </cols>
  <sheetData>
    <row r="1" ht="30" customHeight="1">
      <c r="A1" s="6" t="inlineStr">
        <is>
          <t>Simulado</t>
        </is>
      </c>
      <c r="B1" s="6" t="inlineStr">
        <is>
          <t>Fase</t>
        </is>
      </c>
      <c r="C1" s="6" t="inlineStr">
        <is>
          <t>Nº de alunos</t>
        </is>
      </c>
      <c r="D1" s="6" t="inlineStr">
        <is>
          <t>Base do %
(questões)</t>
        </is>
      </c>
      <c r="E1" s="6" t="inlineStr">
        <is>
          <t>Média de acertos</t>
        </is>
      </c>
      <c r="F1" s="6" t="inlineStr">
        <is>
          <t>% médio</t>
        </is>
      </c>
      <c r="G1" s="6" t="inlineStr">
        <is>
          <t>Mediana</t>
        </is>
      </c>
      <c r="H1" s="6" t="inlineStr">
        <is>
          <t>Mínimo</t>
        </is>
      </c>
      <c r="I1" s="6" t="inlineStr">
        <is>
          <t>Máximo</t>
        </is>
      </c>
      <c r="J1" s="6" t="inlineStr">
        <is>
          <t>Desvio-padrão</t>
        </is>
      </c>
      <c r="K1" s="6" t="inlineStr">
        <is>
          <t>Amplitude</t>
        </is>
      </c>
    </row>
    <row r="2">
      <c r="A2" s="7" t="inlineStr">
        <is>
          <t>Simulado 01</t>
        </is>
      </c>
      <c r="B2" s="7" t="inlineStr">
        <is>
          <t>6ª Fase</t>
        </is>
      </c>
      <c r="C2" s="8" t="n">
        <v>27</v>
      </c>
      <c r="D2" s="8" t="n">
        <v>39</v>
      </c>
      <c r="E2" s="16">
        <f>AVERAGE(Alunos!$D$2:$D$28)</f>
        <v/>
      </c>
      <c r="F2" s="9">
        <f>E2/D2</f>
        <v/>
      </c>
      <c r="G2" s="16">
        <f>MEDIAN(Alunos!$D$2:$D$28)</f>
        <v/>
      </c>
      <c r="H2" s="8">
        <f>MIN(Alunos!$D$2:$D$28)</f>
        <v/>
      </c>
      <c r="I2" s="8">
        <f>MAX(Alunos!$D$2:$D$28)</f>
        <v/>
      </c>
      <c r="J2" s="16">
        <f>STDEV(Alunos!$D$2:$D$28)</f>
        <v/>
      </c>
      <c r="K2" s="8">
        <f>I2-H2</f>
        <v/>
      </c>
    </row>
    <row r="3">
      <c r="A3" s="10" t="inlineStr">
        <is>
          <t>Simulado 01</t>
        </is>
      </c>
      <c r="B3" s="10" t="inlineStr">
        <is>
          <t>7ª Fase</t>
        </is>
      </c>
      <c r="C3" s="11" t="n">
        <v>33</v>
      </c>
      <c r="D3" s="11" t="n">
        <v>39</v>
      </c>
      <c r="E3" s="17">
        <f>AVERAGE(Alunos!$D$29:$D$61)</f>
        <v/>
      </c>
      <c r="F3" s="12">
        <f>E3/D3</f>
        <v/>
      </c>
      <c r="G3" s="17">
        <f>MEDIAN(Alunos!$D$29:$D$61)</f>
        <v/>
      </c>
      <c r="H3" s="11">
        <f>MIN(Alunos!$D$29:$D$61)</f>
        <v/>
      </c>
      <c r="I3" s="11">
        <f>MAX(Alunos!$D$29:$D$61)</f>
        <v/>
      </c>
      <c r="J3" s="17">
        <f>STDEV(Alunos!$D$29:$D$61)</f>
        <v/>
      </c>
      <c r="K3" s="11">
        <f>I3-H3</f>
        <v/>
      </c>
    </row>
    <row r="4">
      <c r="A4" s="7" t="inlineStr">
        <is>
          <t>Simulado 01</t>
        </is>
      </c>
      <c r="B4" s="7" t="inlineStr">
        <is>
          <t>10ª Fase</t>
        </is>
      </c>
      <c r="C4" s="8" t="n">
        <v>31</v>
      </c>
      <c r="D4" s="8" t="n">
        <v>39</v>
      </c>
      <c r="E4" s="16">
        <f>AVERAGE(Alunos!$D$62:$D$92)</f>
        <v/>
      </c>
      <c r="F4" s="9">
        <f>E4/D4</f>
        <v/>
      </c>
      <c r="G4" s="16">
        <f>MEDIAN(Alunos!$D$62:$D$92)</f>
        <v/>
      </c>
      <c r="H4" s="8">
        <f>MIN(Alunos!$D$62:$D$92)</f>
        <v/>
      </c>
      <c r="I4" s="8">
        <f>MAX(Alunos!$D$62:$D$92)</f>
        <v/>
      </c>
      <c r="J4" s="16">
        <f>STDEV(Alunos!$D$62:$D$92)</f>
        <v/>
      </c>
      <c r="K4" s="8">
        <f>I4-H4</f>
        <v/>
      </c>
    </row>
    <row r="5">
      <c r="A5" s="10" t="inlineStr">
        <is>
          <t>Simulado 01</t>
        </is>
      </c>
      <c r="B5" s="10" t="inlineStr">
        <is>
          <t>11ª Fase</t>
        </is>
      </c>
      <c r="C5" s="11" t="n">
        <v>27</v>
      </c>
      <c r="D5" s="11" t="n">
        <v>39</v>
      </c>
      <c r="E5" s="17">
        <f>AVERAGE(Alunos!$D$93:$D$119)</f>
        <v/>
      </c>
      <c r="F5" s="12">
        <f>E5/D5</f>
        <v/>
      </c>
      <c r="G5" s="17">
        <f>MEDIAN(Alunos!$D$93:$D$119)</f>
        <v/>
      </c>
      <c r="H5" s="11">
        <f>MIN(Alunos!$D$93:$D$119)</f>
        <v/>
      </c>
      <c r="I5" s="11">
        <f>MAX(Alunos!$D$93:$D$119)</f>
        <v/>
      </c>
      <c r="J5" s="17">
        <f>STDEV(Alunos!$D$93:$D$119)</f>
        <v/>
      </c>
      <c r="K5" s="11">
        <f>I5-H5</f>
        <v/>
      </c>
    </row>
    <row r="6">
      <c r="A6" s="7" t="inlineStr">
        <is>
          <t>Simulado 02</t>
        </is>
      </c>
      <c r="B6" s="7" t="inlineStr">
        <is>
          <t>6ª Fase</t>
        </is>
      </c>
      <c r="C6" s="8" t="n">
        <v>28</v>
      </c>
      <c r="D6" s="8" t="n">
        <v>60</v>
      </c>
      <c r="E6" s="16">
        <f>AVERAGE(Alunos!$D$120:$D$147)</f>
        <v/>
      </c>
      <c r="F6" s="9">
        <f>E6/D6</f>
        <v/>
      </c>
      <c r="G6" s="16">
        <f>MEDIAN(Alunos!$D$120:$D$147)</f>
        <v/>
      </c>
      <c r="H6" s="8">
        <f>MIN(Alunos!$D$120:$D$147)</f>
        <v/>
      </c>
      <c r="I6" s="8">
        <f>MAX(Alunos!$D$120:$D$147)</f>
        <v/>
      </c>
      <c r="J6" s="16">
        <f>STDEV(Alunos!$D$120:$D$147)</f>
        <v/>
      </c>
      <c r="K6" s="8">
        <f>I6-H6</f>
        <v/>
      </c>
    </row>
    <row r="7">
      <c r="A7" s="10" t="inlineStr">
        <is>
          <t>Simulado 02</t>
        </is>
      </c>
      <c r="B7" s="10" t="inlineStr">
        <is>
          <t>7ª Fase</t>
        </is>
      </c>
      <c r="C7" s="11" t="n">
        <v>32</v>
      </c>
      <c r="D7" s="11" t="n">
        <v>60</v>
      </c>
      <c r="E7" s="17">
        <f>AVERAGE(Alunos!$D$148:$D$179)</f>
        <v/>
      </c>
      <c r="F7" s="12">
        <f>E7/D7</f>
        <v/>
      </c>
      <c r="G7" s="17">
        <f>MEDIAN(Alunos!$D$148:$D$179)</f>
        <v/>
      </c>
      <c r="H7" s="11">
        <f>MIN(Alunos!$D$148:$D$179)</f>
        <v/>
      </c>
      <c r="I7" s="11">
        <f>MAX(Alunos!$D$148:$D$179)</f>
        <v/>
      </c>
      <c r="J7" s="17">
        <f>STDEV(Alunos!$D$148:$D$179)</f>
        <v/>
      </c>
      <c r="K7" s="11">
        <f>I7-H7</f>
        <v/>
      </c>
    </row>
    <row r="8">
      <c r="A8" s="7" t="inlineStr">
        <is>
          <t>Simulado 02</t>
        </is>
      </c>
      <c r="B8" s="7" t="inlineStr">
        <is>
          <t>10ª Fase</t>
        </is>
      </c>
      <c r="C8" s="8" t="n">
        <v>31</v>
      </c>
      <c r="D8" s="8" t="n">
        <v>60</v>
      </c>
      <c r="E8" s="16">
        <f>AVERAGE(Alunos!$D$180:$D$210)</f>
        <v/>
      </c>
      <c r="F8" s="9">
        <f>E8/D8</f>
        <v/>
      </c>
      <c r="G8" s="16">
        <f>MEDIAN(Alunos!$D$180:$D$210)</f>
        <v/>
      </c>
      <c r="H8" s="8">
        <f>MIN(Alunos!$D$180:$D$210)</f>
        <v/>
      </c>
      <c r="I8" s="8">
        <f>MAX(Alunos!$D$180:$D$210)</f>
        <v/>
      </c>
      <c r="J8" s="16">
        <f>STDEV(Alunos!$D$180:$D$210)</f>
        <v/>
      </c>
      <c r="K8" s="8">
        <f>I8-H8</f>
        <v/>
      </c>
    </row>
    <row r="9">
      <c r="A9" s="10" t="inlineStr">
        <is>
          <t>Simulado 02</t>
        </is>
      </c>
      <c r="B9" s="10" t="inlineStr">
        <is>
          <t>11ª Fase</t>
        </is>
      </c>
      <c r="C9" s="11" t="n">
        <v>29</v>
      </c>
      <c r="D9" s="11" t="n">
        <v>60</v>
      </c>
      <c r="E9" s="17">
        <f>AVERAGE(Alunos!$D$211:$D$239)</f>
        <v/>
      </c>
      <c r="F9" s="12">
        <f>E9/D9</f>
        <v/>
      </c>
      <c r="G9" s="17">
        <f>MEDIAN(Alunos!$D$211:$D$239)</f>
        <v/>
      </c>
      <c r="H9" s="11">
        <f>MIN(Alunos!$D$211:$D$239)</f>
        <v/>
      </c>
      <c r="I9" s="11">
        <f>MAX(Alunos!$D$211:$D$239)</f>
        <v/>
      </c>
      <c r="J9" s="17">
        <f>STDEV(Alunos!$D$211:$D$239)</f>
        <v/>
      </c>
      <c r="K9" s="11">
        <f>I9-H9</f>
        <v/>
      </c>
    </row>
  </sheetData>
  <autoFilter ref="A1:K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0" customWidth="1" min="2" max="2"/>
    <col width="13" customWidth="1" min="3" max="3"/>
    <col width="11" customWidth="1" min="4" max="4"/>
    <col width="13" customWidth="1" min="5" max="5"/>
    <col width="11" customWidth="1" min="6" max="6"/>
    <col width="15" customWidth="1" min="7" max="7"/>
    <col width="20" customWidth="1" min="8" max="8"/>
  </cols>
  <sheetData>
    <row r="1" ht="30" customHeight="1">
      <c r="A1" s="6" t="inlineStr">
        <is>
          <t>Nome do acadêmico</t>
        </is>
      </c>
      <c r="B1" s="6" t="inlineStr">
        <is>
          <t>Fase</t>
        </is>
      </c>
      <c r="C1" s="6" t="inlineStr">
        <is>
          <t>Acertos S01
(base 39)</t>
        </is>
      </c>
      <c r="D1" s="6" t="inlineStr">
        <is>
          <t>% S01</t>
        </is>
      </c>
      <c r="E1" s="6" t="inlineStr">
        <is>
          <t>Acertos S02
(base 60)</t>
        </is>
      </c>
      <c r="F1" s="6" t="inlineStr">
        <is>
          <t>% S02</t>
        </is>
      </c>
      <c r="G1" s="6" t="inlineStr">
        <is>
          <t>Variação (p.p.)</t>
        </is>
      </c>
      <c r="H1" s="6" t="inlineStr">
        <is>
          <t>Presença</t>
        </is>
      </c>
    </row>
    <row r="2">
      <c r="A2" s="7" t="inlineStr">
        <is>
          <t>Abraham Lincoln Galdino Costa</t>
        </is>
      </c>
      <c r="B2" s="8" t="inlineStr">
        <is>
          <t>7ª Fase</t>
        </is>
      </c>
      <c r="C2" s="8" t="n">
        <v>23</v>
      </c>
      <c r="D2" s="9">
        <f>IF(C2="","",C2/39)</f>
        <v/>
      </c>
      <c r="E2" s="8" t="n">
        <v>38</v>
      </c>
      <c r="F2" s="9">
        <f>IF(E2="","",E2/60)</f>
        <v/>
      </c>
      <c r="G2" s="18">
        <f>IF(OR(C2="",E2=""),"",(F2-D2)*100)</f>
        <v/>
      </c>
      <c r="H2" s="7" t="inlineStr">
        <is>
          <t>Nos dois simulados</t>
        </is>
      </c>
    </row>
    <row r="3">
      <c r="A3" s="10" t="inlineStr">
        <is>
          <t>Aline Agostini</t>
        </is>
      </c>
      <c r="B3" s="11" t="inlineStr">
        <is>
          <t>10ª Fase</t>
        </is>
      </c>
      <c r="C3" s="11" t="n">
        <v>27</v>
      </c>
      <c r="D3" s="12">
        <f>IF(C3="","",C3/39)</f>
        <v/>
      </c>
      <c r="E3" s="11" t="n">
        <v>38</v>
      </c>
      <c r="F3" s="12">
        <f>IF(E3="","",E3/60)</f>
        <v/>
      </c>
      <c r="G3" s="19">
        <f>IF(OR(C3="",E3=""),"",(F3-D3)*100)</f>
        <v/>
      </c>
      <c r="H3" s="10" t="inlineStr">
        <is>
          <t>Nos dois simulados</t>
        </is>
      </c>
    </row>
    <row r="4">
      <c r="A4" s="7" t="inlineStr">
        <is>
          <t>Amanda de Matos da Silva</t>
        </is>
      </c>
      <c r="B4" s="8" t="inlineStr">
        <is>
          <t>6ª Fase</t>
        </is>
      </c>
      <c r="C4" s="8" t="n">
        <v>26</v>
      </c>
      <c r="D4" s="9">
        <f>IF(C4="","",C4/39)</f>
        <v/>
      </c>
      <c r="E4" s="8" t="n">
        <v>37</v>
      </c>
      <c r="F4" s="9">
        <f>IF(E4="","",E4/60)</f>
        <v/>
      </c>
      <c r="G4" s="18">
        <f>IF(OR(C4="",E4=""),"",(F4-D4)*100)</f>
        <v/>
      </c>
      <c r="H4" s="7" t="inlineStr">
        <is>
          <t>Nos dois simulados</t>
        </is>
      </c>
    </row>
    <row r="5">
      <c r="A5" s="10" t="inlineStr">
        <is>
          <t>Amanda Figueiredo Meneghetti</t>
        </is>
      </c>
      <c r="B5" s="11" t="inlineStr">
        <is>
          <t>6ª Fase</t>
        </is>
      </c>
      <c r="C5" s="11" t="n">
        <v>23</v>
      </c>
      <c r="D5" s="12">
        <f>IF(C5="","",C5/39)</f>
        <v/>
      </c>
      <c r="E5" s="11" t="n">
        <v>34</v>
      </c>
      <c r="F5" s="12">
        <f>IF(E5="","",E5/60)</f>
        <v/>
      </c>
      <c r="G5" s="19">
        <f>IF(OR(C5="",E5=""),"",(F5-D5)*100)</f>
        <v/>
      </c>
      <c r="H5" s="10" t="inlineStr">
        <is>
          <t>Nos dois simulados</t>
        </is>
      </c>
    </row>
    <row r="6">
      <c r="A6" s="7" t="inlineStr">
        <is>
          <t>Amanda Luisa Batista</t>
        </is>
      </c>
      <c r="B6" s="8" t="inlineStr">
        <is>
          <t>11ª Fase</t>
        </is>
      </c>
      <c r="C6" s="8" t="n">
        <v>29</v>
      </c>
      <c r="D6" s="9">
        <f>IF(C6="","",C6/39)</f>
        <v/>
      </c>
      <c r="E6" s="8" t="n"/>
      <c r="F6" s="9">
        <f>IF(E6="","",E6/60)</f>
        <v/>
      </c>
      <c r="G6" s="18">
        <f>IF(OR(C6="",E6=""),"",(F6-D6)*100)</f>
        <v/>
      </c>
      <c r="H6" s="7" t="inlineStr">
        <is>
          <t>Só no Simulado 01</t>
        </is>
      </c>
    </row>
    <row r="7">
      <c r="A7" s="10" t="inlineStr">
        <is>
          <t>Ana Carolina Assis Benvenutti</t>
        </is>
      </c>
      <c r="B7" s="11" t="inlineStr">
        <is>
          <t>11ª Fase</t>
        </is>
      </c>
      <c r="C7" s="11" t="n">
        <v>28</v>
      </c>
      <c r="D7" s="12">
        <f>IF(C7="","",C7/39)</f>
        <v/>
      </c>
      <c r="E7" s="11" t="n"/>
      <c r="F7" s="12">
        <f>IF(E7="","",E7/60)</f>
        <v/>
      </c>
      <c r="G7" s="19">
        <f>IF(OR(C7="",E7=""),"",(F7-D7)*100)</f>
        <v/>
      </c>
      <c r="H7" s="10" t="inlineStr">
        <is>
          <t>Só no Simulado 01</t>
        </is>
      </c>
    </row>
    <row r="8">
      <c r="A8" s="7" t="inlineStr">
        <is>
          <t>Ana Flavia Losi</t>
        </is>
      </c>
      <c r="B8" s="8" t="inlineStr">
        <is>
          <t>11ª Fase</t>
        </is>
      </c>
      <c r="C8" s="8" t="n">
        <v>26</v>
      </c>
      <c r="D8" s="9">
        <f>IF(C8="","",C8/39)</f>
        <v/>
      </c>
      <c r="E8" s="8" t="n">
        <v>42</v>
      </c>
      <c r="F8" s="9">
        <f>IF(E8="","",E8/60)</f>
        <v/>
      </c>
      <c r="G8" s="18">
        <f>IF(OR(C8="",E8=""),"",(F8-D8)*100)</f>
        <v/>
      </c>
      <c r="H8" s="7" t="inlineStr">
        <is>
          <t>Nos dois simulados</t>
        </is>
      </c>
    </row>
    <row r="9">
      <c r="A9" s="10" t="inlineStr">
        <is>
          <t>Ana Luiza Tenfen</t>
        </is>
      </c>
      <c r="B9" s="11" t="inlineStr">
        <is>
          <t>7ª Fase</t>
        </is>
      </c>
      <c r="C9" s="11" t="n">
        <v>27</v>
      </c>
      <c r="D9" s="12">
        <f>IF(C9="","",C9/39)</f>
        <v/>
      </c>
      <c r="E9" s="11" t="n">
        <v>38</v>
      </c>
      <c r="F9" s="12">
        <f>IF(E9="","",E9/60)</f>
        <v/>
      </c>
      <c r="G9" s="19">
        <f>IF(OR(C9="",E9=""),"",(F9-D9)*100)</f>
        <v/>
      </c>
      <c r="H9" s="10" t="inlineStr">
        <is>
          <t>Nos dois simulados</t>
        </is>
      </c>
    </row>
    <row r="10">
      <c r="A10" s="7" t="inlineStr">
        <is>
          <t>Antonella Gubert Verch</t>
        </is>
      </c>
      <c r="B10" s="8" t="inlineStr">
        <is>
          <t>7ª Fase</t>
        </is>
      </c>
      <c r="C10" s="8" t="n">
        <v>25</v>
      </c>
      <c r="D10" s="9">
        <f>IF(C10="","",C10/39)</f>
        <v/>
      </c>
      <c r="E10" s="8" t="n">
        <v>34</v>
      </c>
      <c r="F10" s="9">
        <f>IF(E10="","",E10/60)</f>
        <v/>
      </c>
      <c r="G10" s="18">
        <f>IF(OR(C10="",E10=""),"",(F10-D10)*100)</f>
        <v/>
      </c>
      <c r="H10" s="7" t="inlineStr">
        <is>
          <t>Nos dois simulados</t>
        </is>
      </c>
    </row>
    <row r="11">
      <c r="A11" s="10" t="inlineStr">
        <is>
          <t>Antonia Dittrich Nova Curz Bandeira</t>
        </is>
      </c>
      <c r="B11" s="11" t="inlineStr">
        <is>
          <t>11ª Fase</t>
        </is>
      </c>
      <c r="C11" s="11" t="n"/>
      <c r="D11" s="12">
        <f>IF(C11="","",C11/39)</f>
        <v/>
      </c>
      <c r="E11" s="11" t="n">
        <v>40</v>
      </c>
      <c r="F11" s="12">
        <f>IF(E11="","",E11/60)</f>
        <v/>
      </c>
      <c r="G11" s="19">
        <f>IF(OR(C11="",E11=""),"",(F11-D11)*100)</f>
        <v/>
      </c>
      <c r="H11" s="10" t="inlineStr">
        <is>
          <t>Só no Simulado 02</t>
        </is>
      </c>
    </row>
    <row r="12">
      <c r="A12" s="7" t="inlineStr">
        <is>
          <t>Augusto Henrique Gamba</t>
        </is>
      </c>
      <c r="B12" s="8" t="inlineStr">
        <is>
          <t>7ª Fase</t>
        </is>
      </c>
      <c r="C12" s="8" t="n">
        <v>21</v>
      </c>
      <c r="D12" s="9">
        <f>IF(C12="","",C12/39)</f>
        <v/>
      </c>
      <c r="E12" s="8" t="n">
        <v>40</v>
      </c>
      <c r="F12" s="9">
        <f>IF(E12="","",E12/60)</f>
        <v/>
      </c>
      <c r="G12" s="18">
        <f>IF(OR(C12="",E12=""),"",(F12-D12)*100)</f>
        <v/>
      </c>
      <c r="H12" s="7" t="inlineStr">
        <is>
          <t>Nos dois simulados</t>
        </is>
      </c>
    </row>
    <row r="13">
      <c r="A13" s="10" t="inlineStr">
        <is>
          <t>Bernardo Martins Zonta</t>
        </is>
      </c>
      <c r="B13" s="11" t="inlineStr">
        <is>
          <t>11ª Fase</t>
        </is>
      </c>
      <c r="C13" s="11" t="n">
        <v>27</v>
      </c>
      <c r="D13" s="12">
        <f>IF(C13="","",C13/39)</f>
        <v/>
      </c>
      <c r="E13" s="11" t="n">
        <v>37</v>
      </c>
      <c r="F13" s="12">
        <f>IF(E13="","",E13/60)</f>
        <v/>
      </c>
      <c r="G13" s="19">
        <f>IF(OR(C13="",E13=""),"",(F13-D13)*100)</f>
        <v/>
      </c>
      <c r="H13" s="10" t="inlineStr">
        <is>
          <t>Nos dois simulados</t>
        </is>
      </c>
    </row>
    <row r="14">
      <c r="A14" s="7" t="inlineStr">
        <is>
          <t>Brenda Cristina Albino</t>
        </is>
      </c>
      <c r="B14" s="8" t="inlineStr">
        <is>
          <t>10ª Fase</t>
        </is>
      </c>
      <c r="C14" s="8" t="n">
        <v>28</v>
      </c>
      <c r="D14" s="9">
        <f>IF(C14="","",C14/39)</f>
        <v/>
      </c>
      <c r="E14" s="8" t="n">
        <v>42</v>
      </c>
      <c r="F14" s="9">
        <f>IF(E14="","",E14/60)</f>
        <v/>
      </c>
      <c r="G14" s="18">
        <f>IF(OR(C14="",E14=""),"",(F14-D14)*100)</f>
        <v/>
      </c>
      <c r="H14" s="7" t="inlineStr">
        <is>
          <t>Nos dois simulados</t>
        </is>
      </c>
    </row>
    <row r="15">
      <c r="A15" s="10" t="inlineStr">
        <is>
          <t>Bruna Gonzalez Nejm</t>
        </is>
      </c>
      <c r="B15" s="11" t="inlineStr">
        <is>
          <t>7ª Fase</t>
        </is>
      </c>
      <c r="C15" s="11" t="n">
        <v>26</v>
      </c>
      <c r="D15" s="12">
        <f>IF(C15="","",C15/39)</f>
        <v/>
      </c>
      <c r="E15" s="11" t="n">
        <v>39</v>
      </c>
      <c r="F15" s="12">
        <f>IF(E15="","",E15/60)</f>
        <v/>
      </c>
      <c r="G15" s="19">
        <f>IF(OR(C15="",E15=""),"",(F15-D15)*100)</f>
        <v/>
      </c>
      <c r="H15" s="10" t="inlineStr">
        <is>
          <t>Nos dois simulados</t>
        </is>
      </c>
    </row>
    <row r="16">
      <c r="A16" s="7" t="inlineStr">
        <is>
          <t>Bárbara Letícia Armiliato</t>
        </is>
      </c>
      <c r="B16" s="8" t="inlineStr">
        <is>
          <t>6ª Fase</t>
        </is>
      </c>
      <c r="C16" s="8" t="n">
        <v>22</v>
      </c>
      <c r="D16" s="9">
        <f>IF(C16="","",C16/39)</f>
        <v/>
      </c>
      <c r="E16" s="8" t="n">
        <v>28</v>
      </c>
      <c r="F16" s="9">
        <f>IF(E16="","",E16/60)</f>
        <v/>
      </c>
      <c r="G16" s="18">
        <f>IF(OR(C16="",E16=""),"",(F16-D16)*100)</f>
        <v/>
      </c>
      <c r="H16" s="7" t="inlineStr">
        <is>
          <t>Nos dois simulados</t>
        </is>
      </c>
    </row>
    <row r="17">
      <c r="A17" s="10" t="inlineStr">
        <is>
          <t>Caio Mateus Garlini</t>
        </is>
      </c>
      <c r="B17" s="11" t="inlineStr">
        <is>
          <t>11ª Fase</t>
        </is>
      </c>
      <c r="C17" s="11" t="n">
        <v>27</v>
      </c>
      <c r="D17" s="12">
        <f>IF(C17="","",C17/39)</f>
        <v/>
      </c>
      <c r="E17" s="11" t="n">
        <v>38</v>
      </c>
      <c r="F17" s="12">
        <f>IF(E17="","",E17/60)</f>
        <v/>
      </c>
      <c r="G17" s="19">
        <f>IF(OR(C17="",E17=""),"",(F17-D17)*100)</f>
        <v/>
      </c>
      <c r="H17" s="10" t="inlineStr">
        <is>
          <t>Nos dois simulados</t>
        </is>
      </c>
    </row>
    <row r="18">
      <c r="A18" s="7" t="inlineStr">
        <is>
          <t>Camila Cabral de Souza</t>
        </is>
      </c>
      <c r="B18" s="8" t="inlineStr">
        <is>
          <t>10ª Fase</t>
        </is>
      </c>
      <c r="C18" s="8" t="n">
        <v>22</v>
      </c>
      <c r="D18" s="9">
        <f>IF(C18="","",C18/39)</f>
        <v/>
      </c>
      <c r="E18" s="8" t="n">
        <v>40</v>
      </c>
      <c r="F18" s="9">
        <f>IF(E18="","",E18/60)</f>
        <v/>
      </c>
      <c r="G18" s="18">
        <f>IF(OR(C18="",E18=""),"",(F18-D18)*100)</f>
        <v/>
      </c>
      <c r="H18" s="7" t="inlineStr">
        <is>
          <t>Nos dois simulados</t>
        </is>
      </c>
    </row>
    <row r="19">
      <c r="A19" s="10" t="inlineStr">
        <is>
          <t>Camila Debatin</t>
        </is>
      </c>
      <c r="B19" s="11" t="inlineStr">
        <is>
          <t>10ª Fase</t>
        </is>
      </c>
      <c r="C19" s="11" t="n">
        <v>23</v>
      </c>
      <c r="D19" s="12">
        <f>IF(C19="","",C19/39)</f>
        <v/>
      </c>
      <c r="E19" s="11" t="n">
        <v>22</v>
      </c>
      <c r="F19" s="12">
        <f>IF(E19="","",E19/60)</f>
        <v/>
      </c>
      <c r="G19" s="19">
        <f>IF(OR(C19="",E19=""),"",(F19-D19)*100)</f>
        <v/>
      </c>
      <c r="H19" s="10" t="inlineStr">
        <is>
          <t>Nos dois simulados</t>
        </is>
      </c>
    </row>
    <row r="20">
      <c r="A20" s="7" t="inlineStr">
        <is>
          <t>Carl Zolet Jonck</t>
        </is>
      </c>
      <c r="B20" s="8" t="inlineStr">
        <is>
          <t>7ª Fase</t>
        </is>
      </c>
      <c r="C20" s="8" t="n">
        <v>21</v>
      </c>
      <c r="D20" s="9">
        <f>IF(C20="","",C20/39)</f>
        <v/>
      </c>
      <c r="E20" s="8" t="n">
        <v>38</v>
      </c>
      <c r="F20" s="9">
        <f>IF(E20="","",E20/60)</f>
        <v/>
      </c>
      <c r="G20" s="18">
        <f>IF(OR(C20="",E20=""),"",(F20-D20)*100)</f>
        <v/>
      </c>
      <c r="H20" s="7" t="inlineStr">
        <is>
          <t>Nos dois simulados</t>
        </is>
      </c>
    </row>
    <row r="21">
      <c r="A21" s="10" t="inlineStr">
        <is>
          <t>Carla Bonacolsi</t>
        </is>
      </c>
      <c r="B21" s="11" t="inlineStr">
        <is>
          <t>6ª Fase</t>
        </is>
      </c>
      <c r="C21" s="11" t="n">
        <v>18</v>
      </c>
      <c r="D21" s="12">
        <f>IF(C21="","",C21/39)</f>
        <v/>
      </c>
      <c r="E21" s="11" t="n">
        <v>31</v>
      </c>
      <c r="F21" s="12">
        <f>IF(E21="","",E21/60)</f>
        <v/>
      </c>
      <c r="G21" s="19">
        <f>IF(OR(C21="",E21=""),"",(F21-D21)*100)</f>
        <v/>
      </c>
      <c r="H21" s="10" t="inlineStr">
        <is>
          <t>Nos dois simulados</t>
        </is>
      </c>
    </row>
    <row r="22">
      <c r="A22" s="7" t="inlineStr">
        <is>
          <t>Carolina Signori Duarte</t>
        </is>
      </c>
      <c r="B22" s="8" t="inlineStr">
        <is>
          <t>11ª Fase</t>
        </is>
      </c>
      <c r="C22" s="8" t="n">
        <v>27</v>
      </c>
      <c r="D22" s="9">
        <f>IF(C22="","",C22/39)</f>
        <v/>
      </c>
      <c r="E22" s="8" t="n">
        <v>37</v>
      </c>
      <c r="F22" s="9">
        <f>IF(E22="","",E22/60)</f>
        <v/>
      </c>
      <c r="G22" s="18">
        <f>IF(OR(C22="",E22=""),"",(F22-D22)*100)</f>
        <v/>
      </c>
      <c r="H22" s="7" t="inlineStr">
        <is>
          <t>Nos dois simulados</t>
        </is>
      </c>
    </row>
    <row r="23">
      <c r="A23" s="10" t="inlineStr">
        <is>
          <t>Cauã Eduardo Eibel</t>
        </is>
      </c>
      <c r="B23" s="11" t="inlineStr">
        <is>
          <t>6ª Fase</t>
        </is>
      </c>
      <c r="C23" s="11" t="n">
        <v>22</v>
      </c>
      <c r="D23" s="12">
        <f>IF(C23="","",C23/39)</f>
        <v/>
      </c>
      <c r="E23" s="11" t="n">
        <v>39</v>
      </c>
      <c r="F23" s="12">
        <f>IF(E23="","",E23/60)</f>
        <v/>
      </c>
      <c r="G23" s="19">
        <f>IF(OR(C23="",E23=""),"",(F23-D23)*100)</f>
        <v/>
      </c>
      <c r="H23" s="10" t="inlineStr">
        <is>
          <t>Nos dois simulados</t>
        </is>
      </c>
    </row>
    <row r="24">
      <c r="A24" s="7" t="inlineStr">
        <is>
          <t>Daniely Aparecida Steinheisen</t>
        </is>
      </c>
      <c r="B24" s="8" t="inlineStr">
        <is>
          <t>10ª Fase</t>
        </is>
      </c>
      <c r="C24" s="8" t="n">
        <v>27</v>
      </c>
      <c r="D24" s="9">
        <f>IF(C24="","",C24/39)</f>
        <v/>
      </c>
      <c r="E24" s="8" t="n">
        <v>29</v>
      </c>
      <c r="F24" s="9">
        <f>IF(E24="","",E24/60)</f>
        <v/>
      </c>
      <c r="G24" s="18">
        <f>IF(OR(C24="",E24=""),"",(F24-D24)*100)</f>
        <v/>
      </c>
      <c r="H24" s="7" t="inlineStr">
        <is>
          <t>Nos dois simulados</t>
        </is>
      </c>
    </row>
    <row r="25">
      <c r="A25" s="10" t="inlineStr">
        <is>
          <t>Danton Capistrano Ferreira</t>
        </is>
      </c>
      <c r="B25" s="11" t="inlineStr">
        <is>
          <t>11ª Fase</t>
        </is>
      </c>
      <c r="C25" s="11" t="n">
        <v>28</v>
      </c>
      <c r="D25" s="12">
        <f>IF(C25="","",C25/39)</f>
        <v/>
      </c>
      <c r="E25" s="11" t="n"/>
      <c r="F25" s="12">
        <f>IF(E25="","",E25/60)</f>
        <v/>
      </c>
      <c r="G25" s="19">
        <f>IF(OR(C25="",E25=""),"",(F25-D25)*100)</f>
        <v/>
      </c>
      <c r="H25" s="10" t="inlineStr">
        <is>
          <t>Só no Simulado 01</t>
        </is>
      </c>
    </row>
    <row r="26">
      <c r="A26" s="7" t="inlineStr">
        <is>
          <t>Eduarda Ferreira Merigo</t>
        </is>
      </c>
      <c r="B26" s="8" t="inlineStr">
        <is>
          <t>11ª Fase</t>
        </is>
      </c>
      <c r="C26" s="8" t="n">
        <v>23</v>
      </c>
      <c r="D26" s="9">
        <f>IF(C26="","",C26/39)</f>
        <v/>
      </c>
      <c r="E26" s="8" t="n"/>
      <c r="F26" s="9">
        <f>IF(E26="","",E26/60)</f>
        <v/>
      </c>
      <c r="G26" s="18">
        <f>IF(OR(C26="",E26=""),"",(F26-D26)*100)</f>
        <v/>
      </c>
      <c r="H26" s="7" t="inlineStr">
        <is>
          <t>Só no Simulado 01</t>
        </is>
      </c>
    </row>
    <row r="27">
      <c r="A27" s="10" t="inlineStr">
        <is>
          <t>Eduardo Jacó Goedert</t>
        </is>
      </c>
      <c r="B27" s="11" t="inlineStr">
        <is>
          <t>6ª Fase</t>
        </is>
      </c>
      <c r="C27" s="11" t="n">
        <v>19</v>
      </c>
      <c r="D27" s="12">
        <f>IF(C27="","",C27/39)</f>
        <v/>
      </c>
      <c r="E27" s="11" t="n">
        <v>36</v>
      </c>
      <c r="F27" s="12">
        <f>IF(E27="","",E27/60)</f>
        <v/>
      </c>
      <c r="G27" s="19">
        <f>IF(OR(C27="",E27=""),"",(F27-D27)*100)</f>
        <v/>
      </c>
      <c r="H27" s="10" t="inlineStr">
        <is>
          <t>Nos dois simulados</t>
        </is>
      </c>
    </row>
    <row r="28">
      <c r="A28" s="7" t="inlineStr">
        <is>
          <t>Eduardo Lorenço Moreira</t>
        </is>
      </c>
      <c r="B28" s="8" t="inlineStr">
        <is>
          <t>11ª Fase</t>
        </is>
      </c>
      <c r="C28" s="8" t="n">
        <v>21</v>
      </c>
      <c r="D28" s="9">
        <f>IF(C28="","",C28/39)</f>
        <v/>
      </c>
      <c r="E28" s="8" t="n">
        <v>33</v>
      </c>
      <c r="F28" s="9">
        <f>IF(E28="","",E28/60)</f>
        <v/>
      </c>
      <c r="G28" s="18">
        <f>IF(OR(C28="",E28=""),"",(F28-D28)*100)</f>
        <v/>
      </c>
      <c r="H28" s="7" t="inlineStr">
        <is>
          <t>Nos dois simulados</t>
        </is>
      </c>
    </row>
    <row r="29">
      <c r="A29" s="10" t="inlineStr">
        <is>
          <t>Eduardo Miguel Panizzon</t>
        </is>
      </c>
      <c r="B29" s="11" t="inlineStr">
        <is>
          <t>10ª Fase</t>
        </is>
      </c>
      <c r="C29" s="11" t="n">
        <v>26</v>
      </c>
      <c r="D29" s="12">
        <f>IF(C29="","",C29/39)</f>
        <v/>
      </c>
      <c r="E29" s="11" t="n">
        <v>46</v>
      </c>
      <c r="F29" s="12">
        <f>IF(E29="","",E29/60)</f>
        <v/>
      </c>
      <c r="G29" s="19">
        <f>IF(OR(C29="",E29=""),"",(F29-D29)*100)</f>
        <v/>
      </c>
      <c r="H29" s="10" t="inlineStr">
        <is>
          <t>Nos dois simulados</t>
        </is>
      </c>
    </row>
    <row r="30">
      <c r="A30" s="7" t="inlineStr">
        <is>
          <t>Elisa Patzlaff</t>
        </is>
      </c>
      <c r="B30" s="8" t="inlineStr">
        <is>
          <t>11ª Fase</t>
        </is>
      </c>
      <c r="C30" s="8" t="n">
        <v>23</v>
      </c>
      <c r="D30" s="9">
        <f>IF(C30="","",C30/39)</f>
        <v/>
      </c>
      <c r="E30" s="8" t="n">
        <v>42</v>
      </c>
      <c r="F30" s="9">
        <f>IF(E30="","",E30/60)</f>
        <v/>
      </c>
      <c r="G30" s="18">
        <f>IF(OR(C30="",E30=""),"",(F30-D30)*100)</f>
        <v/>
      </c>
      <c r="H30" s="7" t="inlineStr">
        <is>
          <t>Nos dois simulados</t>
        </is>
      </c>
    </row>
    <row r="31">
      <c r="A31" s="10" t="inlineStr">
        <is>
          <t>Emanuela Tenfen</t>
        </is>
      </c>
      <c r="B31" s="11" t="inlineStr">
        <is>
          <t>7ª Fase</t>
        </is>
      </c>
      <c r="C31" s="11" t="n">
        <v>19</v>
      </c>
      <c r="D31" s="12">
        <f>IF(C31="","",C31/39)</f>
        <v/>
      </c>
      <c r="E31" s="11" t="n">
        <v>25</v>
      </c>
      <c r="F31" s="12">
        <f>IF(E31="","",E31/60)</f>
        <v/>
      </c>
      <c r="G31" s="19">
        <f>IF(OR(C31="",E31=""),"",(F31-D31)*100)</f>
        <v/>
      </c>
      <c r="H31" s="10" t="inlineStr">
        <is>
          <t>Nos dois simulados</t>
        </is>
      </c>
    </row>
    <row r="32">
      <c r="A32" s="7" t="inlineStr">
        <is>
          <t>Emily Martins Arruda</t>
        </is>
      </c>
      <c r="B32" s="8" t="inlineStr">
        <is>
          <t>7ª Fase</t>
        </is>
      </c>
      <c r="C32" s="8" t="n">
        <v>25</v>
      </c>
      <c r="D32" s="9">
        <f>IF(C32="","",C32/39)</f>
        <v/>
      </c>
      <c r="E32" s="8" t="n">
        <v>33</v>
      </c>
      <c r="F32" s="9">
        <f>IF(E32="","",E32/60)</f>
        <v/>
      </c>
      <c r="G32" s="18">
        <f>IF(OR(C32="",E32=""),"",(F32-D32)*100)</f>
        <v/>
      </c>
      <c r="H32" s="7" t="inlineStr">
        <is>
          <t>Nos dois simulados</t>
        </is>
      </c>
    </row>
    <row r="33">
      <c r="A33" s="10" t="inlineStr">
        <is>
          <t>Fernando Lima Nogueira</t>
        </is>
      </c>
      <c r="B33" s="11" t="inlineStr">
        <is>
          <t>7ª Fase</t>
        </is>
      </c>
      <c r="C33" s="11" t="n">
        <v>18</v>
      </c>
      <c r="D33" s="12">
        <f>IF(C33="","",C33/39)</f>
        <v/>
      </c>
      <c r="E33" s="11" t="n">
        <v>28</v>
      </c>
      <c r="F33" s="12">
        <f>IF(E33="","",E33/60)</f>
        <v/>
      </c>
      <c r="G33" s="19">
        <f>IF(OR(C33="",E33=""),"",(F33-D33)*100)</f>
        <v/>
      </c>
      <c r="H33" s="10" t="inlineStr">
        <is>
          <t>Nos dois simulados</t>
        </is>
      </c>
    </row>
    <row r="34">
      <c r="A34" s="7" t="inlineStr">
        <is>
          <t>Gabriel Borella Rosado</t>
        </is>
      </c>
      <c r="B34" s="8" t="inlineStr">
        <is>
          <t>7ª Fase</t>
        </is>
      </c>
      <c r="C34" s="8" t="n">
        <v>18</v>
      </c>
      <c r="D34" s="9">
        <f>IF(C34="","",C34/39)</f>
        <v/>
      </c>
      <c r="E34" s="8" t="n">
        <v>25</v>
      </c>
      <c r="F34" s="9">
        <f>IF(E34="","",E34/60)</f>
        <v/>
      </c>
      <c r="G34" s="18">
        <f>IF(OR(C34="",E34=""),"",(F34-D34)*100)</f>
        <v/>
      </c>
      <c r="H34" s="7" t="inlineStr">
        <is>
          <t>Nos dois simulados</t>
        </is>
      </c>
    </row>
    <row r="35">
      <c r="A35" s="10" t="inlineStr">
        <is>
          <t>Gabriel Olivo Leandro</t>
        </is>
      </c>
      <c r="B35" s="11" t="inlineStr">
        <is>
          <t>10ª Fase</t>
        </is>
      </c>
      <c r="C35" s="11" t="n">
        <v>26</v>
      </c>
      <c r="D35" s="12">
        <f>IF(C35="","",C35/39)</f>
        <v/>
      </c>
      <c r="E35" s="11" t="n">
        <v>34</v>
      </c>
      <c r="F35" s="12">
        <f>IF(E35="","",E35/60)</f>
        <v/>
      </c>
      <c r="G35" s="19">
        <f>IF(OR(C35="",E35=""),"",(F35-D35)*100)</f>
        <v/>
      </c>
      <c r="H35" s="10" t="inlineStr">
        <is>
          <t>Nos dois simulados</t>
        </is>
      </c>
    </row>
    <row r="36">
      <c r="A36" s="7" t="inlineStr">
        <is>
          <t>Gabriela Lucia Imhoff</t>
        </is>
      </c>
      <c r="B36" s="8" t="inlineStr">
        <is>
          <t>7ª Fase</t>
        </is>
      </c>
      <c r="C36" s="8" t="n">
        <v>26</v>
      </c>
      <c r="D36" s="9">
        <f>IF(C36="","",C36/39)</f>
        <v/>
      </c>
      <c r="E36" s="8" t="n">
        <v>36</v>
      </c>
      <c r="F36" s="9">
        <f>IF(E36="","",E36/60)</f>
        <v/>
      </c>
      <c r="G36" s="18">
        <f>IF(OR(C36="",E36=""),"",(F36-D36)*100)</f>
        <v/>
      </c>
      <c r="H36" s="7" t="inlineStr">
        <is>
          <t>Nos dois simulados</t>
        </is>
      </c>
    </row>
    <row r="37">
      <c r="A37" s="10" t="inlineStr">
        <is>
          <t>Gabriela Luiza Cezar</t>
        </is>
      </c>
      <c r="B37" s="11" t="inlineStr">
        <is>
          <t>7ª Fase</t>
        </is>
      </c>
      <c r="C37" s="11" t="n">
        <v>23</v>
      </c>
      <c r="D37" s="12">
        <f>IF(C37="","",C37/39)</f>
        <v/>
      </c>
      <c r="E37" s="11" t="n">
        <v>37</v>
      </c>
      <c r="F37" s="12">
        <f>IF(E37="","",E37/60)</f>
        <v/>
      </c>
      <c r="G37" s="19">
        <f>IF(OR(C37="",E37=""),"",(F37-D37)*100)</f>
        <v/>
      </c>
      <c r="H37" s="10" t="inlineStr">
        <is>
          <t>Nos dois simulados</t>
        </is>
      </c>
    </row>
    <row r="38">
      <c r="A38" s="7" t="inlineStr">
        <is>
          <t>Gabriela Tambosi Catafesta</t>
        </is>
      </c>
      <c r="B38" s="8" t="inlineStr">
        <is>
          <t>7ª Fase</t>
        </is>
      </c>
      <c r="C38" s="8" t="n">
        <v>25</v>
      </c>
      <c r="D38" s="9">
        <f>IF(C38="","",C38/39)</f>
        <v/>
      </c>
      <c r="E38" s="8" t="n">
        <v>36</v>
      </c>
      <c r="F38" s="9">
        <f>IF(E38="","",E38/60)</f>
        <v/>
      </c>
      <c r="G38" s="18">
        <f>IF(OR(C38="",E38=""),"",(F38-D38)*100)</f>
        <v/>
      </c>
      <c r="H38" s="7" t="inlineStr">
        <is>
          <t>Nos dois simulados</t>
        </is>
      </c>
    </row>
    <row r="39">
      <c r="A39" s="10" t="inlineStr">
        <is>
          <t>Geisa Maritsa Wippel Schramm</t>
        </is>
      </c>
      <c r="B39" s="11" t="inlineStr">
        <is>
          <t>11ª Fase</t>
        </is>
      </c>
      <c r="C39" s="11" t="n"/>
      <c r="D39" s="12">
        <f>IF(C39="","",C39/39)</f>
        <v/>
      </c>
      <c r="E39" s="11" t="n">
        <v>35</v>
      </c>
      <c r="F39" s="12">
        <f>IF(E39="","",E39/60)</f>
        <v/>
      </c>
      <c r="G39" s="19">
        <f>IF(OR(C39="",E39=""),"",(F39-D39)*100)</f>
        <v/>
      </c>
      <c r="H39" s="10" t="inlineStr">
        <is>
          <t>Só no Simulado 02</t>
        </is>
      </c>
    </row>
    <row r="40">
      <c r="A40" s="7" t="inlineStr">
        <is>
          <t>Gercino de Matos Neto</t>
        </is>
      </c>
      <c r="B40" s="8" t="inlineStr">
        <is>
          <t>7ª Fase</t>
        </is>
      </c>
      <c r="C40" s="8" t="n">
        <v>24</v>
      </c>
      <c r="D40" s="9">
        <f>IF(C40="","",C40/39)</f>
        <v/>
      </c>
      <c r="E40" s="8" t="n">
        <v>39</v>
      </c>
      <c r="F40" s="9">
        <f>IF(E40="","",E40/60)</f>
        <v/>
      </c>
      <c r="G40" s="18">
        <f>IF(OR(C40="",E40=""),"",(F40-D40)*100)</f>
        <v/>
      </c>
      <c r="H40" s="7" t="inlineStr">
        <is>
          <t>Nos dois simulados</t>
        </is>
      </c>
    </row>
    <row r="41">
      <c r="A41" s="10" t="inlineStr">
        <is>
          <t>Giacomo João Mondini</t>
        </is>
      </c>
      <c r="B41" s="11" t="inlineStr">
        <is>
          <t>6ª Fase</t>
        </is>
      </c>
      <c r="C41" s="11" t="n">
        <v>23</v>
      </c>
      <c r="D41" s="12">
        <f>IF(C41="","",C41/39)</f>
        <v/>
      </c>
      <c r="E41" s="11" t="n">
        <v>40</v>
      </c>
      <c r="F41" s="12">
        <f>IF(E41="","",E41/60)</f>
        <v/>
      </c>
      <c r="G41" s="19">
        <f>IF(OR(C41="",E41=""),"",(F41-D41)*100)</f>
        <v/>
      </c>
      <c r="H41" s="10" t="inlineStr">
        <is>
          <t>Nos dois simulados</t>
        </is>
      </c>
    </row>
    <row r="42">
      <c r="A42" s="7" t="inlineStr">
        <is>
          <t>Graciane Zemke</t>
        </is>
      </c>
      <c r="B42" s="8" t="inlineStr">
        <is>
          <t>7ª Fase</t>
        </is>
      </c>
      <c r="C42" s="8" t="n">
        <v>24</v>
      </c>
      <c r="D42" s="9">
        <f>IF(C42="","",C42/39)</f>
        <v/>
      </c>
      <c r="E42" s="8" t="n"/>
      <c r="F42" s="9">
        <f>IF(E42="","",E42/60)</f>
        <v/>
      </c>
      <c r="G42" s="18">
        <f>IF(OR(C42="",E42=""),"",(F42-D42)*100)</f>
        <v/>
      </c>
      <c r="H42" s="7" t="inlineStr">
        <is>
          <t>Só no Simulado 01</t>
        </is>
      </c>
    </row>
    <row r="43">
      <c r="A43" s="10" t="inlineStr">
        <is>
          <t>Gustavo Heerdt da Silva</t>
        </is>
      </c>
      <c r="B43" s="11" t="inlineStr">
        <is>
          <t>11ª Fase</t>
        </is>
      </c>
      <c r="C43" s="11" t="n">
        <v>26</v>
      </c>
      <c r="D43" s="12">
        <f>IF(C43="","",C43/39)</f>
        <v/>
      </c>
      <c r="E43" s="11" t="n">
        <v>41</v>
      </c>
      <c r="F43" s="12">
        <f>IF(E43="","",E43/60)</f>
        <v/>
      </c>
      <c r="G43" s="19">
        <f>IF(OR(C43="",E43=""),"",(F43-D43)*100)</f>
        <v/>
      </c>
      <c r="H43" s="10" t="inlineStr">
        <is>
          <t>Nos dois simulados</t>
        </is>
      </c>
    </row>
    <row r="44">
      <c r="A44" s="7" t="inlineStr">
        <is>
          <t>Gustavo Sborz</t>
        </is>
      </c>
      <c r="B44" s="8" t="inlineStr">
        <is>
          <t>11ª Fase</t>
        </is>
      </c>
      <c r="C44" s="8" t="n">
        <v>25</v>
      </c>
      <c r="D44" s="9">
        <f>IF(C44="","",C44/39)</f>
        <v/>
      </c>
      <c r="E44" s="8" t="n">
        <v>48</v>
      </c>
      <c r="F44" s="9">
        <f>IF(E44="","",E44/60)</f>
        <v/>
      </c>
      <c r="G44" s="18">
        <f>IF(OR(C44="",E44=""),"",(F44-D44)*100)</f>
        <v/>
      </c>
      <c r="H44" s="7" t="inlineStr">
        <is>
          <t>Nos dois simulados</t>
        </is>
      </c>
    </row>
    <row r="45">
      <c r="A45" s="10" t="inlineStr">
        <is>
          <t>Heitor Antônio Giehl</t>
        </is>
      </c>
      <c r="B45" s="11" t="inlineStr">
        <is>
          <t>6ª Fase</t>
        </is>
      </c>
      <c r="C45" s="11" t="n">
        <v>19</v>
      </c>
      <c r="D45" s="12">
        <f>IF(C45="","",C45/39)</f>
        <v/>
      </c>
      <c r="E45" s="11" t="n">
        <v>32</v>
      </c>
      <c r="F45" s="12">
        <f>IF(E45="","",E45/60)</f>
        <v/>
      </c>
      <c r="G45" s="19">
        <f>IF(OR(C45="",E45=""),"",(F45-D45)*100)</f>
        <v/>
      </c>
      <c r="H45" s="10" t="inlineStr">
        <is>
          <t>Nos dois simulados</t>
        </is>
      </c>
    </row>
    <row r="46">
      <c r="A46" s="7" t="inlineStr">
        <is>
          <t>Helena Woiciechoski Weber</t>
        </is>
      </c>
      <c r="B46" s="8" t="inlineStr">
        <is>
          <t>11ª Fase</t>
        </is>
      </c>
      <c r="C46" s="8" t="n"/>
      <c r="D46" s="9">
        <f>IF(C46="","",C46/39)</f>
        <v/>
      </c>
      <c r="E46" s="8" t="n">
        <v>40</v>
      </c>
      <c r="F46" s="9">
        <f>IF(E46="","",E46/60)</f>
        <v/>
      </c>
      <c r="G46" s="18">
        <f>IF(OR(C46="",E46=""),"",(F46-D46)*100)</f>
        <v/>
      </c>
      <c r="H46" s="7" t="inlineStr">
        <is>
          <t>Só no Simulado 02</t>
        </is>
      </c>
    </row>
    <row r="47">
      <c r="A47" s="10" t="inlineStr">
        <is>
          <t>Henrique de Moraes Andrade</t>
        </is>
      </c>
      <c r="B47" s="11" t="inlineStr">
        <is>
          <t>7ª Fase</t>
        </is>
      </c>
      <c r="C47" s="11" t="n">
        <v>17</v>
      </c>
      <c r="D47" s="12">
        <f>IF(C47="","",C47/39)</f>
        <v/>
      </c>
      <c r="E47" s="11" t="n">
        <v>26</v>
      </c>
      <c r="F47" s="12">
        <f>IF(E47="","",E47/60)</f>
        <v/>
      </c>
      <c r="G47" s="19">
        <f>IF(OR(C47="",E47=""),"",(F47-D47)*100)</f>
        <v/>
      </c>
      <c r="H47" s="10" t="inlineStr">
        <is>
          <t>Nos dois simulados</t>
        </is>
      </c>
    </row>
    <row r="48">
      <c r="A48" s="7" t="inlineStr">
        <is>
          <t>Iago Prim Guimarães de Melo</t>
        </is>
      </c>
      <c r="B48" s="8" t="inlineStr">
        <is>
          <t>6ª Fase</t>
        </is>
      </c>
      <c r="C48" s="8" t="n"/>
      <c r="D48" s="9">
        <f>IF(C48="","",C48/39)</f>
        <v/>
      </c>
      <c r="E48" s="8" t="n">
        <v>37</v>
      </c>
      <c r="F48" s="9">
        <f>IF(E48="","",E48/60)</f>
        <v/>
      </c>
      <c r="G48" s="18">
        <f>IF(OR(C48="",E48=""),"",(F48-D48)*100)</f>
        <v/>
      </c>
      <c r="H48" s="7" t="inlineStr">
        <is>
          <t>Só no Simulado 02</t>
        </is>
      </c>
    </row>
    <row r="49">
      <c r="A49" s="10" t="inlineStr">
        <is>
          <t>Iasmin Kersbaumer Pereira</t>
        </is>
      </c>
      <c r="B49" s="11" t="inlineStr">
        <is>
          <t>11ª Fase</t>
        </is>
      </c>
      <c r="C49" s="11" t="n"/>
      <c r="D49" s="12">
        <f>IF(C49="","",C49/39)</f>
        <v/>
      </c>
      <c r="E49" s="11" t="n">
        <v>41</v>
      </c>
      <c r="F49" s="12">
        <f>IF(E49="","",E49/60)</f>
        <v/>
      </c>
      <c r="G49" s="19">
        <f>IF(OR(C49="",E49=""),"",(F49-D49)*100)</f>
        <v/>
      </c>
      <c r="H49" s="10" t="inlineStr">
        <is>
          <t>Só no Simulado 02</t>
        </is>
      </c>
    </row>
    <row r="50">
      <c r="A50" s="7" t="inlineStr">
        <is>
          <t>Isadora Ceregatti Correia</t>
        </is>
      </c>
      <c r="B50" s="8" t="inlineStr">
        <is>
          <t>10ª Fase</t>
        </is>
      </c>
      <c r="C50" s="8" t="n">
        <v>24</v>
      </c>
      <c r="D50" s="9">
        <f>IF(C50="","",C50/39)</f>
        <v/>
      </c>
      <c r="E50" s="8" t="n">
        <v>39</v>
      </c>
      <c r="F50" s="9">
        <f>IF(E50="","",E50/60)</f>
        <v/>
      </c>
      <c r="G50" s="18">
        <f>IF(OR(C50="",E50=""),"",(F50-D50)*100)</f>
        <v/>
      </c>
      <c r="H50" s="7" t="inlineStr">
        <is>
          <t>Nos dois simulados</t>
        </is>
      </c>
    </row>
    <row r="51">
      <c r="A51" s="10" t="inlineStr">
        <is>
          <t>Isadora Faedo Thives</t>
        </is>
      </c>
      <c r="B51" s="11" t="inlineStr">
        <is>
          <t>10ª Fase</t>
        </is>
      </c>
      <c r="C51" s="11" t="n">
        <v>23</v>
      </c>
      <c r="D51" s="12">
        <f>IF(C51="","",C51/39)</f>
        <v/>
      </c>
      <c r="E51" s="11" t="n">
        <v>34</v>
      </c>
      <c r="F51" s="12">
        <f>IF(E51="","",E51/60)</f>
        <v/>
      </c>
      <c r="G51" s="19">
        <f>IF(OR(C51="",E51=""),"",(F51-D51)*100)</f>
        <v/>
      </c>
      <c r="H51" s="10" t="inlineStr">
        <is>
          <t>Nos dois simulados</t>
        </is>
      </c>
    </row>
    <row r="52">
      <c r="A52" s="7" t="inlineStr">
        <is>
          <t>Isadora Gonçalves</t>
        </is>
      </c>
      <c r="B52" s="8" t="inlineStr">
        <is>
          <t>10ª Fase</t>
        </is>
      </c>
      <c r="C52" s="8" t="n">
        <v>26</v>
      </c>
      <c r="D52" s="9">
        <f>IF(C52="","",C52/39)</f>
        <v/>
      </c>
      <c r="E52" s="8" t="n">
        <v>36</v>
      </c>
      <c r="F52" s="9">
        <f>IF(E52="","",E52/60)</f>
        <v/>
      </c>
      <c r="G52" s="18">
        <f>IF(OR(C52="",E52=""),"",(F52-D52)*100)</f>
        <v/>
      </c>
      <c r="H52" s="7" t="inlineStr">
        <is>
          <t>Nos dois simulados</t>
        </is>
      </c>
    </row>
    <row r="53">
      <c r="A53" s="10" t="inlineStr">
        <is>
          <t>Jaqueline Klagemberg</t>
        </is>
      </c>
      <c r="B53" s="11" t="inlineStr">
        <is>
          <t>7ª Fase</t>
        </is>
      </c>
      <c r="C53" s="11" t="n">
        <v>19</v>
      </c>
      <c r="D53" s="12">
        <f>IF(C53="","",C53/39)</f>
        <v/>
      </c>
      <c r="E53" s="11" t="n">
        <v>29</v>
      </c>
      <c r="F53" s="12">
        <f>IF(E53="","",E53/60)</f>
        <v/>
      </c>
      <c r="G53" s="19">
        <f>IF(OR(C53="",E53=""),"",(F53-D53)*100)</f>
        <v/>
      </c>
      <c r="H53" s="10" t="inlineStr">
        <is>
          <t>Nos dois simulados</t>
        </is>
      </c>
    </row>
    <row r="54">
      <c r="A54" s="7" t="inlineStr">
        <is>
          <t>Jaqueline Vansuita</t>
        </is>
      </c>
      <c r="B54" s="8" t="inlineStr">
        <is>
          <t>7ª Fase</t>
        </is>
      </c>
      <c r="C54" s="8" t="n">
        <v>22</v>
      </c>
      <c r="D54" s="9">
        <f>IF(C54="","",C54/39)</f>
        <v/>
      </c>
      <c r="E54" s="8" t="n">
        <v>37</v>
      </c>
      <c r="F54" s="9">
        <f>IF(E54="","",E54/60)</f>
        <v/>
      </c>
      <c r="G54" s="18">
        <f>IF(OR(C54="",E54=""),"",(F54-D54)*100)</f>
        <v/>
      </c>
      <c r="H54" s="7" t="inlineStr">
        <is>
          <t>Nos dois simulados</t>
        </is>
      </c>
    </row>
    <row r="55">
      <c r="A55" s="10" t="inlineStr">
        <is>
          <t>João Otávio Correa Machado</t>
        </is>
      </c>
      <c r="B55" s="11" t="inlineStr">
        <is>
          <t>6ª Fase</t>
        </is>
      </c>
      <c r="C55" s="11" t="n">
        <v>26</v>
      </c>
      <c r="D55" s="12">
        <f>IF(C55="","",C55/39)</f>
        <v/>
      </c>
      <c r="E55" s="11" t="n">
        <v>36</v>
      </c>
      <c r="F55" s="12">
        <f>IF(E55="","",E55/60)</f>
        <v/>
      </c>
      <c r="G55" s="19">
        <f>IF(OR(C55="",E55=""),"",(F55-D55)*100)</f>
        <v/>
      </c>
      <c r="H55" s="10" t="inlineStr">
        <is>
          <t>Nos dois simulados</t>
        </is>
      </c>
    </row>
    <row r="56">
      <c r="A56" s="7" t="inlineStr">
        <is>
          <t>Juan Peres de Oliveira</t>
        </is>
      </c>
      <c r="B56" s="8" t="inlineStr">
        <is>
          <t>11ª Fase</t>
        </is>
      </c>
      <c r="C56" s="8" t="n">
        <v>27</v>
      </c>
      <c r="D56" s="9">
        <f>IF(C56="","",C56/39)</f>
        <v/>
      </c>
      <c r="E56" s="8" t="n">
        <v>42</v>
      </c>
      <c r="F56" s="9">
        <f>IF(E56="","",E56/60)</f>
        <v/>
      </c>
      <c r="G56" s="18">
        <f>IF(OR(C56="",E56=""),"",(F56-D56)*100)</f>
        <v/>
      </c>
      <c r="H56" s="7" t="inlineStr">
        <is>
          <t>Nos dois simulados</t>
        </is>
      </c>
    </row>
    <row r="57">
      <c r="A57" s="10" t="inlineStr">
        <is>
          <t>Juliara Borguesan</t>
        </is>
      </c>
      <c r="B57" s="11" t="inlineStr">
        <is>
          <t>11ª Fase</t>
        </is>
      </c>
      <c r="C57" s="11" t="n">
        <v>30</v>
      </c>
      <c r="D57" s="12">
        <f>IF(C57="","",C57/39)</f>
        <v/>
      </c>
      <c r="E57" s="11" t="n">
        <v>41</v>
      </c>
      <c r="F57" s="12">
        <f>IF(E57="","",E57/60)</f>
        <v/>
      </c>
      <c r="G57" s="19">
        <f>IF(OR(C57="",E57=""),"",(F57-D57)*100)</f>
        <v/>
      </c>
      <c r="H57" s="10" t="inlineStr">
        <is>
          <t>Nos dois simulados</t>
        </is>
      </c>
    </row>
    <row r="58">
      <c r="A58" s="7" t="inlineStr">
        <is>
          <t>Julya Lemos de Moraes</t>
        </is>
      </c>
      <c r="B58" s="8" t="inlineStr">
        <is>
          <t>10ª Fase</t>
        </is>
      </c>
      <c r="C58" s="8" t="n">
        <v>24</v>
      </c>
      <c r="D58" s="9">
        <f>IF(C58="","",C58/39)</f>
        <v/>
      </c>
      <c r="E58" s="8" t="n">
        <v>35</v>
      </c>
      <c r="F58" s="9">
        <f>IF(E58="","",E58/60)</f>
        <v/>
      </c>
      <c r="G58" s="18">
        <f>IF(OR(C58="",E58=""),"",(F58-D58)*100)</f>
        <v/>
      </c>
      <c r="H58" s="7" t="inlineStr">
        <is>
          <t>Nos dois simulados</t>
        </is>
      </c>
    </row>
    <row r="59">
      <c r="A59" s="10" t="inlineStr">
        <is>
          <t>Júlia Cremonini Bernardi</t>
        </is>
      </c>
      <c r="B59" s="11" t="inlineStr">
        <is>
          <t>10ª Fase</t>
        </is>
      </c>
      <c r="C59" s="11" t="n">
        <v>22</v>
      </c>
      <c r="D59" s="12">
        <f>IF(C59="","",C59/39)</f>
        <v/>
      </c>
      <c r="E59" s="11" t="n">
        <v>37</v>
      </c>
      <c r="F59" s="12">
        <f>IF(E59="","",E59/60)</f>
        <v/>
      </c>
      <c r="G59" s="19">
        <f>IF(OR(C59="",E59=""),"",(F59-D59)*100)</f>
        <v/>
      </c>
      <c r="H59" s="10" t="inlineStr">
        <is>
          <t>Nos dois simulados</t>
        </is>
      </c>
    </row>
    <row r="60">
      <c r="A60" s="7" t="inlineStr">
        <is>
          <t>Kalessa Pereira Menegusse</t>
        </is>
      </c>
      <c r="B60" s="8" t="inlineStr">
        <is>
          <t>7ª Fase</t>
        </is>
      </c>
      <c r="C60" s="8" t="n">
        <v>17</v>
      </c>
      <c r="D60" s="9">
        <f>IF(C60="","",C60/39)</f>
        <v/>
      </c>
      <c r="E60" s="8" t="n">
        <v>33</v>
      </c>
      <c r="F60" s="9">
        <f>IF(E60="","",E60/60)</f>
        <v/>
      </c>
      <c r="G60" s="18">
        <f>IF(OR(C60="",E60=""),"",(F60-D60)*100)</f>
        <v/>
      </c>
      <c r="H60" s="7" t="inlineStr">
        <is>
          <t>Nos dois simulados</t>
        </is>
      </c>
    </row>
    <row r="61">
      <c r="A61" s="10" t="inlineStr">
        <is>
          <t>Katrine Manoel</t>
        </is>
      </c>
      <c r="B61" s="11" t="inlineStr">
        <is>
          <t>11ª Fase</t>
        </is>
      </c>
      <c r="C61" s="11" t="n">
        <v>24</v>
      </c>
      <c r="D61" s="12">
        <f>IF(C61="","",C61/39)</f>
        <v/>
      </c>
      <c r="E61" s="11" t="n">
        <v>39</v>
      </c>
      <c r="F61" s="12">
        <f>IF(E61="","",E61/60)</f>
        <v/>
      </c>
      <c r="G61" s="19">
        <f>IF(OR(C61="",E61=""),"",(F61-D61)*100)</f>
        <v/>
      </c>
      <c r="H61" s="10" t="inlineStr">
        <is>
          <t>Nos dois simulados</t>
        </is>
      </c>
    </row>
    <row r="62">
      <c r="A62" s="7" t="inlineStr">
        <is>
          <t>Kaylaine Rodrigues Almeida Andrade</t>
        </is>
      </c>
      <c r="B62" s="8" t="inlineStr">
        <is>
          <t>7ª Fase</t>
        </is>
      </c>
      <c r="C62" s="8" t="n">
        <v>23</v>
      </c>
      <c r="D62" s="9">
        <f>IF(C62="","",C62/39)</f>
        <v/>
      </c>
      <c r="E62" s="8" t="n">
        <v>35</v>
      </c>
      <c r="F62" s="9">
        <f>IF(E62="","",E62/60)</f>
        <v/>
      </c>
      <c r="G62" s="18">
        <f>IF(OR(C62="",E62=""),"",(F62-D62)*100)</f>
        <v/>
      </c>
      <c r="H62" s="7" t="inlineStr">
        <is>
          <t>Nos dois simulados</t>
        </is>
      </c>
    </row>
    <row r="63">
      <c r="A63" s="10" t="inlineStr">
        <is>
          <t>Kerollin Waltrick da Silva</t>
        </is>
      </c>
      <c r="B63" s="11" t="inlineStr">
        <is>
          <t>10ª Fase</t>
        </is>
      </c>
      <c r="C63" s="11" t="n">
        <v>21</v>
      </c>
      <c r="D63" s="12">
        <f>IF(C63="","",C63/39)</f>
        <v/>
      </c>
      <c r="E63" s="11" t="n">
        <v>39</v>
      </c>
      <c r="F63" s="12">
        <f>IF(E63="","",E63/60)</f>
        <v/>
      </c>
      <c r="G63" s="19">
        <f>IF(OR(C63="",E63=""),"",(F63-D63)*100)</f>
        <v/>
      </c>
      <c r="H63" s="10" t="inlineStr">
        <is>
          <t>Nos dois simulados</t>
        </is>
      </c>
    </row>
    <row r="64">
      <c r="A64" s="7" t="inlineStr">
        <is>
          <t>Larissa Raimundo</t>
        </is>
      </c>
      <c r="B64" s="8" t="inlineStr">
        <is>
          <t>6ª Fase</t>
        </is>
      </c>
      <c r="C64" s="8" t="n">
        <v>17</v>
      </c>
      <c r="D64" s="9">
        <f>IF(C64="","",C64/39)</f>
        <v/>
      </c>
      <c r="E64" s="8" t="n">
        <v>34</v>
      </c>
      <c r="F64" s="9">
        <f>IF(E64="","",E64/60)</f>
        <v/>
      </c>
      <c r="G64" s="18">
        <f>IF(OR(C64="",E64=""),"",(F64-D64)*100)</f>
        <v/>
      </c>
      <c r="H64" s="7" t="inlineStr">
        <is>
          <t>Nos dois simulados</t>
        </is>
      </c>
    </row>
    <row r="65">
      <c r="A65" s="10" t="inlineStr">
        <is>
          <t>Lauro Schweitzer Sebold</t>
        </is>
      </c>
      <c r="B65" s="11" t="inlineStr">
        <is>
          <t>11ª Fase</t>
        </is>
      </c>
      <c r="C65" s="11" t="n"/>
      <c r="D65" s="12">
        <f>IF(C65="","",C65/39)</f>
        <v/>
      </c>
      <c r="E65" s="11" t="n">
        <v>45</v>
      </c>
      <c r="F65" s="12">
        <f>IF(E65="","",E65/60)</f>
        <v/>
      </c>
      <c r="G65" s="19">
        <f>IF(OR(C65="",E65=""),"",(F65-D65)*100)</f>
        <v/>
      </c>
      <c r="H65" s="10" t="inlineStr">
        <is>
          <t>Só no Simulado 02</t>
        </is>
      </c>
    </row>
    <row r="66">
      <c r="A66" s="7" t="inlineStr">
        <is>
          <t>Leandro Batista de Oliveira</t>
        </is>
      </c>
      <c r="B66" s="8" t="inlineStr">
        <is>
          <t>6ª Fase</t>
        </is>
      </c>
      <c r="C66" s="8" t="n">
        <v>25</v>
      </c>
      <c r="D66" s="9">
        <f>IF(C66="","",C66/39)</f>
        <v/>
      </c>
      <c r="E66" s="8" t="n">
        <v>34</v>
      </c>
      <c r="F66" s="9">
        <f>IF(E66="","",E66/60)</f>
        <v/>
      </c>
      <c r="G66" s="18">
        <f>IF(OR(C66="",E66=""),"",(F66-D66)*100)</f>
        <v/>
      </c>
      <c r="H66" s="7" t="inlineStr">
        <is>
          <t>Nos dois simulados</t>
        </is>
      </c>
    </row>
    <row r="67">
      <c r="A67" s="10" t="inlineStr">
        <is>
          <t>Leandro Iomes de Souza</t>
        </is>
      </c>
      <c r="B67" s="11" t="inlineStr">
        <is>
          <t>7ª Fase</t>
        </is>
      </c>
      <c r="C67" s="11" t="n">
        <v>22</v>
      </c>
      <c r="D67" s="12">
        <f>IF(C67="","",C67/39)</f>
        <v/>
      </c>
      <c r="E67" s="11" t="n">
        <v>37</v>
      </c>
      <c r="F67" s="12">
        <f>IF(E67="","",E67/60)</f>
        <v/>
      </c>
      <c r="G67" s="19">
        <f>IF(OR(C67="",E67=""),"",(F67-D67)*100)</f>
        <v/>
      </c>
      <c r="H67" s="10" t="inlineStr">
        <is>
          <t>Nos dois simulados</t>
        </is>
      </c>
    </row>
    <row r="68">
      <c r="A68" s="7" t="inlineStr">
        <is>
          <t>Letícia Tiburski da Rocha</t>
        </is>
      </c>
      <c r="B68" s="8" t="inlineStr">
        <is>
          <t>6ª Fase</t>
        </is>
      </c>
      <c r="C68" s="8" t="n">
        <v>23</v>
      </c>
      <c r="D68" s="9">
        <f>IF(C68="","",C68/39)</f>
        <v/>
      </c>
      <c r="E68" s="8" t="n">
        <v>36</v>
      </c>
      <c r="F68" s="9">
        <f>IF(E68="","",E68/60)</f>
        <v/>
      </c>
      <c r="G68" s="18">
        <f>IF(OR(C68="",E68=""),"",(F68-D68)*100)</f>
        <v/>
      </c>
      <c r="H68" s="7" t="inlineStr">
        <is>
          <t>Nos dois simulados</t>
        </is>
      </c>
    </row>
    <row r="69">
      <c r="A69" s="10" t="inlineStr">
        <is>
          <t>Livia Luersen Sousa</t>
        </is>
      </c>
      <c r="B69" s="11" t="inlineStr">
        <is>
          <t>10ª Fase</t>
        </is>
      </c>
      <c r="C69" s="11" t="n">
        <v>24</v>
      </c>
      <c r="D69" s="12">
        <f>IF(C69="","",C69/39)</f>
        <v/>
      </c>
      <c r="E69" s="11" t="n">
        <v>38</v>
      </c>
      <c r="F69" s="12">
        <f>IF(E69="","",E69/60)</f>
        <v/>
      </c>
      <c r="G69" s="19">
        <f>IF(OR(C69="",E69=""),"",(F69-D69)*100)</f>
        <v/>
      </c>
      <c r="H69" s="10" t="inlineStr">
        <is>
          <t>Nos dois simulados</t>
        </is>
      </c>
    </row>
    <row r="70">
      <c r="A70" s="7" t="inlineStr">
        <is>
          <t>Lohana Helena da Fonseca Silva</t>
        </is>
      </c>
      <c r="B70" s="8" t="inlineStr">
        <is>
          <t>6ª Fase</t>
        </is>
      </c>
      <c r="C70" s="8" t="n">
        <v>25</v>
      </c>
      <c r="D70" s="9">
        <f>IF(C70="","",C70/39)</f>
        <v/>
      </c>
      <c r="E70" s="8" t="n">
        <v>35</v>
      </c>
      <c r="F70" s="9">
        <f>IF(E70="","",E70/60)</f>
        <v/>
      </c>
      <c r="G70" s="18">
        <f>IF(OR(C70="",E70=""),"",(F70-D70)*100)</f>
        <v/>
      </c>
      <c r="H70" s="7" t="inlineStr">
        <is>
          <t>Nos dois simulados</t>
        </is>
      </c>
    </row>
    <row r="71">
      <c r="A71" s="10" t="inlineStr">
        <is>
          <t>Luana Zytkoski Zanon</t>
        </is>
      </c>
      <c r="B71" s="11" t="inlineStr">
        <is>
          <t>10ª Fase</t>
        </is>
      </c>
      <c r="C71" s="11" t="n">
        <v>26</v>
      </c>
      <c r="D71" s="12">
        <f>IF(C71="","",C71/39)</f>
        <v/>
      </c>
      <c r="E71" s="11" t="n">
        <v>43</v>
      </c>
      <c r="F71" s="12">
        <f>IF(E71="","",E71/60)</f>
        <v/>
      </c>
      <c r="G71" s="19">
        <f>IF(OR(C71="",E71=""),"",(F71-D71)*100)</f>
        <v/>
      </c>
      <c r="H71" s="10" t="inlineStr">
        <is>
          <t>Nos dois simulados</t>
        </is>
      </c>
    </row>
    <row r="72">
      <c r="A72" s="7" t="inlineStr">
        <is>
          <t>Lucas Bongiolo</t>
        </is>
      </c>
      <c r="B72" s="8" t="inlineStr">
        <is>
          <t>6ª Fase</t>
        </is>
      </c>
      <c r="C72" s="8" t="n">
        <v>18</v>
      </c>
      <c r="D72" s="9">
        <f>IF(C72="","",C72/39)</f>
        <v/>
      </c>
      <c r="E72" s="8" t="n">
        <v>33</v>
      </c>
      <c r="F72" s="9">
        <f>IF(E72="","",E72/60)</f>
        <v/>
      </c>
      <c r="G72" s="18">
        <f>IF(OR(C72="",E72=""),"",(F72-D72)*100)</f>
        <v/>
      </c>
      <c r="H72" s="7" t="inlineStr">
        <is>
          <t>Nos dois simulados</t>
        </is>
      </c>
    </row>
    <row r="73">
      <c r="A73" s="10" t="inlineStr">
        <is>
          <t>Lucas Eduardo dos Santos Viana</t>
        </is>
      </c>
      <c r="B73" s="11" t="inlineStr">
        <is>
          <t>10ª Fase</t>
        </is>
      </c>
      <c r="C73" s="11" t="n">
        <v>24</v>
      </c>
      <c r="D73" s="12">
        <f>IF(C73="","",C73/39)</f>
        <v/>
      </c>
      <c r="E73" s="11" t="n">
        <v>44</v>
      </c>
      <c r="F73" s="12">
        <f>IF(E73="","",E73/60)</f>
        <v/>
      </c>
      <c r="G73" s="19">
        <f>IF(OR(C73="",E73=""),"",(F73-D73)*100)</f>
        <v/>
      </c>
      <c r="H73" s="10" t="inlineStr">
        <is>
          <t>Nos dois simulados</t>
        </is>
      </c>
    </row>
    <row r="74">
      <c r="A74" s="7" t="inlineStr">
        <is>
          <t>Lucas Paulo Tito Staloch</t>
        </is>
      </c>
      <c r="B74" s="8" t="inlineStr">
        <is>
          <t>6ª Fase</t>
        </is>
      </c>
      <c r="C74" s="8" t="n">
        <v>21</v>
      </c>
      <c r="D74" s="9">
        <f>IF(C74="","",C74/39)</f>
        <v/>
      </c>
      <c r="E74" s="8" t="n">
        <v>28</v>
      </c>
      <c r="F74" s="9">
        <f>IF(E74="","",E74/60)</f>
        <v/>
      </c>
      <c r="G74" s="18">
        <f>IF(OR(C74="",E74=""),"",(F74-D74)*100)</f>
        <v/>
      </c>
      <c r="H74" s="7" t="inlineStr">
        <is>
          <t>Nos dois simulados</t>
        </is>
      </c>
    </row>
    <row r="75">
      <c r="A75" s="10" t="inlineStr">
        <is>
          <t>Luis Eduardo Bigolin Folador</t>
        </is>
      </c>
      <c r="B75" s="11" t="inlineStr">
        <is>
          <t>10ª Fase</t>
        </is>
      </c>
      <c r="C75" s="11" t="n">
        <v>25</v>
      </c>
      <c r="D75" s="12">
        <f>IF(C75="","",C75/39)</f>
        <v/>
      </c>
      <c r="E75" s="11" t="n">
        <v>43</v>
      </c>
      <c r="F75" s="12">
        <f>IF(E75="","",E75/60)</f>
        <v/>
      </c>
      <c r="G75" s="19">
        <f>IF(OR(C75="",E75=""),"",(F75-D75)*100)</f>
        <v/>
      </c>
      <c r="H75" s="10" t="inlineStr">
        <is>
          <t>Nos dois simulados</t>
        </is>
      </c>
    </row>
    <row r="76">
      <c r="A76" s="7" t="inlineStr">
        <is>
          <t>Luisa Cristina Matê</t>
        </is>
      </c>
      <c r="B76" s="8" t="inlineStr">
        <is>
          <t>10ª Fase</t>
        </is>
      </c>
      <c r="C76" s="8" t="n">
        <v>27</v>
      </c>
      <c r="D76" s="9">
        <f>IF(C76="","",C76/39)</f>
        <v/>
      </c>
      <c r="E76" s="8" t="n">
        <v>40</v>
      </c>
      <c r="F76" s="9">
        <f>IF(E76="","",E76/60)</f>
        <v/>
      </c>
      <c r="G76" s="18">
        <f>IF(OR(C76="",E76=""),"",(F76-D76)*100)</f>
        <v/>
      </c>
      <c r="H76" s="7" t="inlineStr">
        <is>
          <t>Nos dois simulados</t>
        </is>
      </c>
    </row>
    <row r="77">
      <c r="A77" s="10" t="inlineStr">
        <is>
          <t>Luiza Tonet dos Santos</t>
        </is>
      </c>
      <c r="B77" s="11" t="inlineStr">
        <is>
          <t>11ª Fase</t>
        </is>
      </c>
      <c r="C77" s="11" t="n">
        <v>19</v>
      </c>
      <c r="D77" s="12">
        <f>IF(C77="","",C77/39)</f>
        <v/>
      </c>
      <c r="E77" s="11" t="n">
        <v>31</v>
      </c>
      <c r="F77" s="12">
        <f>IF(E77="","",E77/60)</f>
        <v/>
      </c>
      <c r="G77" s="19">
        <f>IF(OR(C77="",E77=""),"",(F77-D77)*100)</f>
        <v/>
      </c>
      <c r="H77" s="10" t="inlineStr">
        <is>
          <t>Nos dois simulados</t>
        </is>
      </c>
    </row>
    <row r="78">
      <c r="A78" s="7" t="inlineStr">
        <is>
          <t>Luís Henrique Knaul</t>
        </is>
      </c>
      <c r="B78" s="8" t="inlineStr">
        <is>
          <t>11ª Fase</t>
        </is>
      </c>
      <c r="C78" s="8" t="n">
        <v>24</v>
      </c>
      <c r="D78" s="9">
        <f>IF(C78="","",C78/39)</f>
        <v/>
      </c>
      <c r="E78" s="8" t="n">
        <v>40</v>
      </c>
      <c r="F78" s="9">
        <f>IF(E78="","",E78/60)</f>
        <v/>
      </c>
      <c r="G78" s="18">
        <f>IF(OR(C78="",E78=""),"",(F78-D78)*100)</f>
        <v/>
      </c>
      <c r="H78" s="7" t="inlineStr">
        <is>
          <t>Nos dois simulados</t>
        </is>
      </c>
    </row>
    <row r="79">
      <c r="A79" s="10" t="inlineStr">
        <is>
          <t>Luísa Fronza Gomes</t>
        </is>
      </c>
      <c r="B79" s="11" t="inlineStr">
        <is>
          <t>7ª Fase</t>
        </is>
      </c>
      <c r="C79" s="11" t="n">
        <v>20</v>
      </c>
      <c r="D79" s="12">
        <f>IF(C79="","",C79/39)</f>
        <v/>
      </c>
      <c r="E79" s="11" t="n">
        <v>37</v>
      </c>
      <c r="F79" s="12">
        <f>IF(E79="","",E79/60)</f>
        <v/>
      </c>
      <c r="G79" s="19">
        <f>IF(OR(C79="",E79=""),"",(F79-D79)*100)</f>
        <v/>
      </c>
      <c r="H79" s="10" t="inlineStr">
        <is>
          <t>Nos dois simulados</t>
        </is>
      </c>
    </row>
    <row r="80">
      <c r="A80" s="7" t="inlineStr">
        <is>
          <t>Léo Jaime Xavier da Silva</t>
        </is>
      </c>
      <c r="B80" s="8" t="inlineStr">
        <is>
          <t>6ª Fase</t>
        </is>
      </c>
      <c r="C80" s="8" t="n">
        <v>22</v>
      </c>
      <c r="D80" s="9">
        <f>IF(C80="","",C80/39)</f>
        <v/>
      </c>
      <c r="E80" s="8" t="n">
        <v>34</v>
      </c>
      <c r="F80" s="9">
        <f>IF(E80="","",E80/60)</f>
        <v/>
      </c>
      <c r="G80" s="18">
        <f>IF(OR(C80="",E80=""),"",(F80-D80)*100)</f>
        <v/>
      </c>
      <c r="H80" s="7" t="inlineStr">
        <is>
          <t>Nos dois simulados</t>
        </is>
      </c>
    </row>
    <row r="81">
      <c r="A81" s="10" t="inlineStr">
        <is>
          <t>Manuela Cristine Silva</t>
        </is>
      </c>
      <c r="B81" s="11" t="inlineStr">
        <is>
          <t>6ª Fase</t>
        </is>
      </c>
      <c r="C81" s="11" t="n">
        <v>25</v>
      </c>
      <c r="D81" s="12">
        <f>IF(C81="","",C81/39)</f>
        <v/>
      </c>
      <c r="E81" s="11" t="n">
        <v>30</v>
      </c>
      <c r="F81" s="12">
        <f>IF(E81="","",E81/60)</f>
        <v/>
      </c>
      <c r="G81" s="19">
        <f>IF(OR(C81="",E81=""),"",(F81-D81)*100)</f>
        <v/>
      </c>
      <c r="H81" s="10" t="inlineStr">
        <is>
          <t>Nos dois simulados</t>
        </is>
      </c>
    </row>
    <row r="82">
      <c r="A82" s="7" t="inlineStr">
        <is>
          <t>Manuella Knop dos Passos</t>
        </is>
      </c>
      <c r="B82" s="8" t="inlineStr">
        <is>
          <t>7ª Fase</t>
        </is>
      </c>
      <c r="C82" s="8" t="n">
        <v>28</v>
      </c>
      <c r="D82" s="9">
        <f>IF(C82="","",C82/39)</f>
        <v/>
      </c>
      <c r="E82" s="8" t="n">
        <v>35</v>
      </c>
      <c r="F82" s="9">
        <f>IF(E82="","",E82/60)</f>
        <v/>
      </c>
      <c r="G82" s="18">
        <f>IF(OR(C82="",E82=""),"",(F82-D82)*100)</f>
        <v/>
      </c>
      <c r="H82" s="7" t="inlineStr">
        <is>
          <t>Nos dois simulados</t>
        </is>
      </c>
    </row>
    <row r="83">
      <c r="A83" s="10" t="inlineStr">
        <is>
          <t>Mara Camily Kammers Cunha</t>
        </is>
      </c>
      <c r="B83" s="11" t="inlineStr">
        <is>
          <t>6ª Fase</t>
        </is>
      </c>
      <c r="C83" s="11" t="n">
        <v>23</v>
      </c>
      <c r="D83" s="12">
        <f>IF(C83="","",C83/39)</f>
        <v/>
      </c>
      <c r="E83" s="11" t="n">
        <v>27</v>
      </c>
      <c r="F83" s="12">
        <f>IF(E83="","",E83/60)</f>
        <v/>
      </c>
      <c r="G83" s="19">
        <f>IF(OR(C83="",E83=""),"",(F83-D83)*100)</f>
        <v/>
      </c>
      <c r="H83" s="10" t="inlineStr">
        <is>
          <t>Nos dois simulados</t>
        </is>
      </c>
    </row>
    <row r="84">
      <c r="A84" s="7" t="inlineStr">
        <is>
          <t>Maria Amélia Vozniak Deluca</t>
        </is>
      </c>
      <c r="B84" s="8" t="inlineStr">
        <is>
          <t>11ª Fase</t>
        </is>
      </c>
      <c r="C84" s="8" t="n">
        <v>24</v>
      </c>
      <c r="D84" s="9">
        <f>IF(C84="","",C84/39)</f>
        <v/>
      </c>
      <c r="E84" s="8" t="n"/>
      <c r="F84" s="9">
        <f>IF(E84="","",E84/60)</f>
        <v/>
      </c>
      <c r="G84" s="18">
        <f>IF(OR(C84="",E84=""),"",(F84-D84)*100)</f>
        <v/>
      </c>
      <c r="H84" s="7" t="inlineStr">
        <is>
          <t>Só no Simulado 01</t>
        </is>
      </c>
    </row>
    <row r="85">
      <c r="A85" s="10" t="inlineStr">
        <is>
          <t>Maria Amélia Vozniak Deluca Schneider</t>
        </is>
      </c>
      <c r="B85" s="11" t="inlineStr">
        <is>
          <t>11ª Fase</t>
        </is>
      </c>
      <c r="C85" s="11" t="n"/>
      <c r="D85" s="12">
        <f>IF(C85="","",C85/39)</f>
        <v/>
      </c>
      <c r="E85" s="11" t="n">
        <v>38</v>
      </c>
      <c r="F85" s="12">
        <f>IF(E85="","",E85/60)</f>
        <v/>
      </c>
      <c r="G85" s="19">
        <f>IF(OR(C85="",E85=""),"",(F85-D85)*100)</f>
        <v/>
      </c>
      <c r="H85" s="10" t="inlineStr">
        <is>
          <t>Só no Simulado 02</t>
        </is>
      </c>
    </row>
    <row r="86">
      <c r="A86" s="7" t="inlineStr">
        <is>
          <t>Maria Eduarda Medeiros Machado</t>
        </is>
      </c>
      <c r="B86" s="8" t="inlineStr">
        <is>
          <t>10ª Fase</t>
        </is>
      </c>
      <c r="C86" s="8" t="n">
        <v>26</v>
      </c>
      <c r="D86" s="9">
        <f>IF(C86="","",C86/39)</f>
        <v/>
      </c>
      <c r="E86" s="8" t="n">
        <v>35</v>
      </c>
      <c r="F86" s="9">
        <f>IF(E86="","",E86/60)</f>
        <v/>
      </c>
      <c r="G86" s="18">
        <f>IF(OR(C86="",E86=""),"",(F86-D86)*100)</f>
        <v/>
      </c>
      <c r="H86" s="7" t="inlineStr">
        <is>
          <t>Nos dois simulados</t>
        </is>
      </c>
    </row>
    <row r="87">
      <c r="A87" s="10" t="inlineStr">
        <is>
          <t>Maria Eduarda Molinari</t>
        </is>
      </c>
      <c r="B87" s="11" t="inlineStr">
        <is>
          <t>10ª Fase</t>
        </is>
      </c>
      <c r="C87" s="11" t="n">
        <v>25</v>
      </c>
      <c r="D87" s="12">
        <f>IF(C87="","",C87/39)</f>
        <v/>
      </c>
      <c r="E87" s="11" t="n">
        <v>41</v>
      </c>
      <c r="F87" s="12">
        <f>IF(E87="","",E87/60)</f>
        <v/>
      </c>
      <c r="G87" s="19">
        <f>IF(OR(C87="",E87=""),"",(F87-D87)*100)</f>
        <v/>
      </c>
      <c r="H87" s="10" t="inlineStr">
        <is>
          <t>Nos dois simulados</t>
        </is>
      </c>
    </row>
    <row r="88">
      <c r="A88" s="7" t="inlineStr">
        <is>
          <t>Maria Eduarda Silveira Navarro Lins</t>
        </is>
      </c>
      <c r="B88" s="8" t="inlineStr">
        <is>
          <t>6ª Fase</t>
        </is>
      </c>
      <c r="C88" s="8" t="n">
        <v>26</v>
      </c>
      <c r="D88" s="9">
        <f>IF(C88="","",C88/39)</f>
        <v/>
      </c>
      <c r="E88" s="8" t="n">
        <v>37</v>
      </c>
      <c r="F88" s="9">
        <f>IF(E88="","",E88/60)</f>
        <v/>
      </c>
      <c r="G88" s="18">
        <f>IF(OR(C88="",E88=""),"",(F88-D88)*100)</f>
        <v/>
      </c>
      <c r="H88" s="7" t="inlineStr">
        <is>
          <t>Nos dois simulados</t>
        </is>
      </c>
    </row>
    <row r="89">
      <c r="A89" s="10" t="inlineStr">
        <is>
          <t>Maria Isadora Baptista Pianezzer</t>
        </is>
      </c>
      <c r="B89" s="11" t="inlineStr">
        <is>
          <t>6ª Fase</t>
        </is>
      </c>
      <c r="C89" s="11" t="n">
        <v>19</v>
      </c>
      <c r="D89" s="12">
        <f>IF(C89="","",C89/39)</f>
        <v/>
      </c>
      <c r="E89" s="11" t="n">
        <v>33</v>
      </c>
      <c r="F89" s="12">
        <f>IF(E89="","",E89/60)</f>
        <v/>
      </c>
      <c r="G89" s="19">
        <f>IF(OR(C89="",E89=""),"",(F89-D89)*100)</f>
        <v/>
      </c>
      <c r="H89" s="10" t="inlineStr">
        <is>
          <t>Nos dois simulados</t>
        </is>
      </c>
    </row>
    <row r="90">
      <c r="A90" s="7" t="inlineStr">
        <is>
          <t>Maria Luísa Ceolin Xavier da Silveira</t>
        </is>
      </c>
      <c r="B90" s="8" t="inlineStr">
        <is>
          <t>7ª Fase</t>
        </is>
      </c>
      <c r="C90" s="8" t="n">
        <v>30</v>
      </c>
      <c r="D90" s="9">
        <f>IF(C90="","",C90/39)</f>
        <v/>
      </c>
      <c r="E90" s="8" t="n">
        <v>34</v>
      </c>
      <c r="F90" s="9">
        <f>IF(E90="","",E90/60)</f>
        <v/>
      </c>
      <c r="G90" s="18">
        <f>IF(OR(C90="",E90=""),"",(F90-D90)*100)</f>
        <v/>
      </c>
      <c r="H90" s="7" t="inlineStr">
        <is>
          <t>Nos dois simulados</t>
        </is>
      </c>
    </row>
    <row r="91">
      <c r="A91" s="10" t="inlineStr">
        <is>
          <t>Mariana Braatz Fagundes</t>
        </is>
      </c>
      <c r="B91" s="11" t="inlineStr">
        <is>
          <t>10ª Fase</t>
        </is>
      </c>
      <c r="C91" s="11" t="n">
        <v>17</v>
      </c>
      <c r="D91" s="12">
        <f>IF(C91="","",C91/39)</f>
        <v/>
      </c>
      <c r="E91" s="11" t="n">
        <v>33</v>
      </c>
      <c r="F91" s="12">
        <f>IF(E91="","",E91/60)</f>
        <v/>
      </c>
      <c r="G91" s="19">
        <f>IF(OR(C91="",E91=""),"",(F91-D91)*100)</f>
        <v/>
      </c>
      <c r="H91" s="10" t="inlineStr">
        <is>
          <t>Nos dois simulados</t>
        </is>
      </c>
    </row>
    <row r="92">
      <c r="A92" s="7" t="inlineStr">
        <is>
          <t>Marieva Niehues Anderle</t>
        </is>
      </c>
      <c r="B92" s="8" t="inlineStr">
        <is>
          <t>10ª Fase</t>
        </is>
      </c>
      <c r="C92" s="8" t="n">
        <v>20</v>
      </c>
      <c r="D92" s="9">
        <f>IF(C92="","",C92/39)</f>
        <v/>
      </c>
      <c r="E92" s="8" t="n">
        <v>34</v>
      </c>
      <c r="F92" s="9">
        <f>IF(E92="","",E92/60)</f>
        <v/>
      </c>
      <c r="G92" s="18">
        <f>IF(OR(C92="",E92=""),"",(F92-D92)*100)</f>
        <v/>
      </c>
      <c r="H92" s="7" t="inlineStr">
        <is>
          <t>Nos dois simulados</t>
        </is>
      </c>
    </row>
    <row r="93">
      <c r="A93" s="10" t="inlineStr">
        <is>
          <t>Mateus Henrique Silva</t>
        </is>
      </c>
      <c r="B93" s="11" t="inlineStr">
        <is>
          <t>11ª Fase</t>
        </is>
      </c>
      <c r="C93" s="11" t="n">
        <v>31</v>
      </c>
      <c r="D93" s="12">
        <f>IF(C93="","",C93/39)</f>
        <v/>
      </c>
      <c r="E93" s="11" t="n">
        <v>54</v>
      </c>
      <c r="F93" s="12">
        <f>IF(E93="","",E93/60)</f>
        <v/>
      </c>
      <c r="G93" s="19">
        <f>IF(OR(C93="",E93=""),"",(F93-D93)*100)</f>
        <v/>
      </c>
      <c r="H93" s="10" t="inlineStr">
        <is>
          <t>Nos dois simulados</t>
        </is>
      </c>
    </row>
    <row r="94">
      <c r="A94" s="7" t="inlineStr">
        <is>
          <t>Matheus Lazzarin Gramazio</t>
        </is>
      </c>
      <c r="B94" s="8" t="inlineStr">
        <is>
          <t>10ª Fase</t>
        </is>
      </c>
      <c r="C94" s="8" t="n">
        <v>25</v>
      </c>
      <c r="D94" s="9">
        <f>IF(C94="","",C94/39)</f>
        <v/>
      </c>
      <c r="E94" s="8" t="n">
        <v>40</v>
      </c>
      <c r="F94" s="9">
        <f>IF(E94="","",E94/60)</f>
        <v/>
      </c>
      <c r="G94" s="18">
        <f>IF(OR(C94="",E94=""),"",(F94-D94)*100)</f>
        <v/>
      </c>
      <c r="H94" s="7" t="inlineStr">
        <is>
          <t>Nos dois simulados</t>
        </is>
      </c>
    </row>
    <row r="95">
      <c r="A95" s="10" t="inlineStr">
        <is>
          <t>Matheus Schmidt Rossini</t>
        </is>
      </c>
      <c r="B95" s="11" t="inlineStr">
        <is>
          <t>10ª Fase</t>
        </is>
      </c>
      <c r="C95" s="11" t="n">
        <v>25</v>
      </c>
      <c r="D95" s="12">
        <f>IF(C95="","",C95/39)</f>
        <v/>
      </c>
      <c r="E95" s="11" t="n">
        <v>36</v>
      </c>
      <c r="F95" s="12">
        <f>IF(E95="","",E95/60)</f>
        <v/>
      </c>
      <c r="G95" s="19">
        <f>IF(OR(C95="",E95=""),"",(F95-D95)*100)</f>
        <v/>
      </c>
      <c r="H95" s="10" t="inlineStr">
        <is>
          <t>Nos dois simulados</t>
        </is>
      </c>
    </row>
    <row r="96">
      <c r="A96" s="7" t="inlineStr">
        <is>
          <t>Maísa Laguna</t>
        </is>
      </c>
      <c r="B96" s="8" t="inlineStr">
        <is>
          <t>6ª Fase</t>
        </is>
      </c>
      <c r="C96" s="8" t="n">
        <v>23</v>
      </c>
      <c r="D96" s="9">
        <f>IF(C96="","",C96/39)</f>
        <v/>
      </c>
      <c r="E96" s="8" t="n">
        <v>45</v>
      </c>
      <c r="F96" s="9">
        <f>IF(E96="","",E96/60)</f>
        <v/>
      </c>
      <c r="G96" s="18">
        <f>IF(OR(C96="",E96=""),"",(F96-D96)*100)</f>
        <v/>
      </c>
      <c r="H96" s="7" t="inlineStr">
        <is>
          <t>Nos dois simulados</t>
        </is>
      </c>
    </row>
    <row r="97">
      <c r="A97" s="10" t="inlineStr">
        <is>
          <t>Micheli Padilha</t>
        </is>
      </c>
      <c r="B97" s="11" t="inlineStr">
        <is>
          <t>11ª Fase</t>
        </is>
      </c>
      <c r="C97" s="11" t="n">
        <v>20</v>
      </c>
      <c r="D97" s="12">
        <f>IF(C97="","",C97/39)</f>
        <v/>
      </c>
      <c r="E97" s="11" t="n">
        <v>35</v>
      </c>
      <c r="F97" s="12">
        <f>IF(E97="","",E97/60)</f>
        <v/>
      </c>
      <c r="G97" s="19">
        <f>IF(OR(C97="",E97=""),"",(F97-D97)*100)</f>
        <v/>
      </c>
      <c r="H97" s="10" t="inlineStr">
        <is>
          <t>Nos dois simulados</t>
        </is>
      </c>
    </row>
    <row r="98">
      <c r="A98" s="7" t="inlineStr">
        <is>
          <t>Milena Ferreira de Souza</t>
        </is>
      </c>
      <c r="B98" s="8" t="inlineStr">
        <is>
          <t>7ª Fase</t>
        </is>
      </c>
      <c r="C98" s="8" t="n">
        <v>24</v>
      </c>
      <c r="D98" s="9">
        <f>IF(C98="","",C98/39)</f>
        <v/>
      </c>
      <c r="E98" s="8" t="n">
        <v>37</v>
      </c>
      <c r="F98" s="9">
        <f>IF(E98="","",E98/60)</f>
        <v/>
      </c>
      <c r="G98" s="18">
        <f>IF(OR(C98="",E98=""),"",(F98-D98)*100)</f>
        <v/>
      </c>
      <c r="H98" s="7" t="inlineStr">
        <is>
          <t>Nos dois simulados</t>
        </is>
      </c>
    </row>
    <row r="99">
      <c r="A99" s="10" t="inlineStr">
        <is>
          <t>Milena Goedert</t>
        </is>
      </c>
      <c r="B99" s="11" t="inlineStr">
        <is>
          <t>7ª Fase</t>
        </is>
      </c>
      <c r="C99" s="11" t="n">
        <v>23</v>
      </c>
      <c r="D99" s="12">
        <f>IF(C99="","",C99/39)</f>
        <v/>
      </c>
      <c r="E99" s="11" t="n">
        <v>40</v>
      </c>
      <c r="F99" s="12">
        <f>IF(E99="","",E99/60)</f>
        <v/>
      </c>
      <c r="G99" s="19">
        <f>IF(OR(C99="",E99=""),"",(F99-D99)*100)</f>
        <v/>
      </c>
      <c r="H99" s="10" t="inlineStr">
        <is>
          <t>Nos dois simulados</t>
        </is>
      </c>
    </row>
    <row r="100">
      <c r="A100" s="7" t="inlineStr">
        <is>
          <t>Milena Marchi Bonacolsi</t>
        </is>
      </c>
      <c r="B100" s="8" t="inlineStr">
        <is>
          <t>10ª Fase</t>
        </is>
      </c>
      <c r="C100" s="8" t="n">
        <v>25</v>
      </c>
      <c r="D100" s="9">
        <f>IF(C100="","",C100/39)</f>
        <v/>
      </c>
      <c r="E100" s="8" t="n">
        <v>40</v>
      </c>
      <c r="F100" s="9">
        <f>IF(E100="","",E100/60)</f>
        <v/>
      </c>
      <c r="G100" s="18">
        <f>IF(OR(C100="",E100=""),"",(F100-D100)*100)</f>
        <v/>
      </c>
      <c r="H100" s="7" t="inlineStr">
        <is>
          <t>Nos dois simulados</t>
        </is>
      </c>
    </row>
    <row r="101">
      <c r="A101" s="10" t="inlineStr">
        <is>
          <t>Millena Laurindo</t>
        </is>
      </c>
      <c r="B101" s="11" t="inlineStr">
        <is>
          <t>7ª Fase</t>
        </is>
      </c>
      <c r="C101" s="11" t="n">
        <v>26</v>
      </c>
      <c r="D101" s="12">
        <f>IF(C101="","",C101/39)</f>
        <v/>
      </c>
      <c r="E101" s="11" t="n">
        <v>35</v>
      </c>
      <c r="F101" s="12">
        <f>IF(E101="","",E101/60)</f>
        <v/>
      </c>
      <c r="G101" s="19">
        <f>IF(OR(C101="",E101=""),"",(F101-D101)*100)</f>
        <v/>
      </c>
      <c r="H101" s="10" t="inlineStr">
        <is>
          <t>Nos dois simulados</t>
        </is>
      </c>
    </row>
    <row r="102">
      <c r="A102" s="7" t="inlineStr">
        <is>
          <t>Nicoly Fiorese Andrade</t>
        </is>
      </c>
      <c r="B102" s="8" t="inlineStr">
        <is>
          <t>10ª Fase</t>
        </is>
      </c>
      <c r="C102" s="8" t="n">
        <v>21</v>
      </c>
      <c r="D102" s="9">
        <f>IF(C102="","",C102/39)</f>
        <v/>
      </c>
      <c r="E102" s="8" t="n">
        <v>35</v>
      </c>
      <c r="F102" s="9">
        <f>IF(E102="","",E102/60)</f>
        <v/>
      </c>
      <c r="G102" s="18">
        <f>IF(OR(C102="",E102=""),"",(F102-D102)*100)</f>
        <v/>
      </c>
      <c r="H102" s="7" t="inlineStr">
        <is>
          <t>Nos dois simulados</t>
        </is>
      </c>
    </row>
    <row r="103">
      <c r="A103" s="10" t="inlineStr">
        <is>
          <t>Pedro Henrique Daniel Abreu</t>
        </is>
      </c>
      <c r="B103" s="11" t="inlineStr">
        <is>
          <t>6ª Fase</t>
        </is>
      </c>
      <c r="C103" s="11" t="n">
        <v>18</v>
      </c>
      <c r="D103" s="12">
        <f>IF(C103="","",C103/39)</f>
        <v/>
      </c>
      <c r="E103" s="11" t="n">
        <v>35</v>
      </c>
      <c r="F103" s="12">
        <f>IF(E103="","",E103/60)</f>
        <v/>
      </c>
      <c r="G103" s="19">
        <f>IF(OR(C103="",E103=""),"",(F103-D103)*100)</f>
        <v/>
      </c>
      <c r="H103" s="10" t="inlineStr">
        <is>
          <t>Nos dois simulados</t>
        </is>
      </c>
    </row>
    <row r="104">
      <c r="A104" s="7" t="inlineStr">
        <is>
          <t>Pedro Werner Eger</t>
        </is>
      </c>
      <c r="B104" s="8" t="inlineStr">
        <is>
          <t>6ª Fase</t>
        </is>
      </c>
      <c r="C104" s="8" t="n">
        <v>17</v>
      </c>
      <c r="D104" s="9">
        <f>IF(C104="","",C104/39)</f>
        <v/>
      </c>
      <c r="E104" s="8" t="n">
        <v>19</v>
      </c>
      <c r="F104" s="9">
        <f>IF(E104="","",E104/60)</f>
        <v/>
      </c>
      <c r="G104" s="18">
        <f>IF(OR(C104="",E104=""),"",(F104-D104)*100)</f>
        <v/>
      </c>
      <c r="H104" s="7" t="inlineStr">
        <is>
          <t>Nos dois simulados</t>
        </is>
      </c>
    </row>
    <row r="105">
      <c r="A105" s="10" t="inlineStr">
        <is>
          <t>Rafaela Dela Justina</t>
        </is>
      </c>
      <c r="B105" s="11" t="inlineStr">
        <is>
          <t>11ª Fase</t>
        </is>
      </c>
      <c r="C105" s="11" t="n">
        <v>25</v>
      </c>
      <c r="D105" s="12">
        <f>IF(C105="","",C105/39)</f>
        <v/>
      </c>
      <c r="E105" s="11" t="n">
        <v>39</v>
      </c>
      <c r="F105" s="12">
        <f>IF(E105="","",E105/60)</f>
        <v/>
      </c>
      <c r="G105" s="19">
        <f>IF(OR(C105="",E105=""),"",(F105-D105)*100)</f>
        <v/>
      </c>
      <c r="H105" s="10" t="inlineStr">
        <is>
          <t>Nos dois simulados</t>
        </is>
      </c>
    </row>
    <row r="106">
      <c r="A106" s="7" t="inlineStr">
        <is>
          <t>Ramon Hüntermann</t>
        </is>
      </c>
      <c r="B106" s="8" t="inlineStr">
        <is>
          <t>11ª Fase</t>
        </is>
      </c>
      <c r="C106" s="8" t="n">
        <v>24</v>
      </c>
      <c r="D106" s="9">
        <f>IF(C106="","",C106/39)</f>
        <v/>
      </c>
      <c r="E106" s="8" t="n">
        <v>34</v>
      </c>
      <c r="F106" s="9">
        <f>IF(E106="","",E106/60)</f>
        <v/>
      </c>
      <c r="G106" s="18">
        <f>IF(OR(C106="",E106=""),"",(F106-D106)*100)</f>
        <v/>
      </c>
      <c r="H106" s="7" t="inlineStr">
        <is>
          <t>Nos dois simulados</t>
        </is>
      </c>
    </row>
    <row r="107">
      <c r="A107" s="10" t="inlineStr">
        <is>
          <t>Raquel Michels</t>
        </is>
      </c>
      <c r="B107" s="11" t="inlineStr">
        <is>
          <t>11ª Fase</t>
        </is>
      </c>
      <c r="C107" s="11" t="n">
        <v>26</v>
      </c>
      <c r="D107" s="12">
        <f>IF(C107="","",C107/39)</f>
        <v/>
      </c>
      <c r="E107" s="11" t="n">
        <v>35</v>
      </c>
      <c r="F107" s="12">
        <f>IF(E107="","",E107/60)</f>
        <v/>
      </c>
      <c r="G107" s="19">
        <f>IF(OR(C107="",E107=""),"",(F107-D107)*100)</f>
        <v/>
      </c>
      <c r="H107" s="10" t="inlineStr">
        <is>
          <t>Nos dois simulados</t>
        </is>
      </c>
    </row>
    <row r="108">
      <c r="A108" s="7" t="inlineStr">
        <is>
          <t>Rodrigo Voigt Filho</t>
        </is>
      </c>
      <c r="B108" s="8" t="inlineStr">
        <is>
          <t>7ª Fase</t>
        </is>
      </c>
      <c r="C108" s="8" t="n">
        <v>28</v>
      </c>
      <c r="D108" s="9">
        <f>IF(C108="","",C108/39)</f>
        <v/>
      </c>
      <c r="E108" s="8" t="n">
        <v>40</v>
      </c>
      <c r="F108" s="9">
        <f>IF(E108="","",E108/60)</f>
        <v/>
      </c>
      <c r="G108" s="18">
        <f>IF(OR(C108="",E108=""),"",(F108-D108)*100)</f>
        <v/>
      </c>
      <c r="H108" s="7" t="inlineStr">
        <is>
          <t>Nos dois simulados</t>
        </is>
      </c>
    </row>
    <row r="109">
      <c r="A109" s="10" t="inlineStr">
        <is>
          <t>Sanny Machado</t>
        </is>
      </c>
      <c r="B109" s="11" t="inlineStr">
        <is>
          <t>10ª Fase</t>
        </is>
      </c>
      <c r="C109" s="11" t="n">
        <v>27</v>
      </c>
      <c r="D109" s="12">
        <f>IF(C109="","",C109/39)</f>
        <v/>
      </c>
      <c r="E109" s="11" t="n">
        <v>39</v>
      </c>
      <c r="F109" s="12">
        <f>IF(E109="","",E109/60)</f>
        <v/>
      </c>
      <c r="G109" s="19">
        <f>IF(OR(C109="",E109=""),"",(F109-D109)*100)</f>
        <v/>
      </c>
      <c r="H109" s="10" t="inlineStr">
        <is>
          <t>Nos dois simulados</t>
        </is>
      </c>
    </row>
    <row r="110">
      <c r="A110" s="7" t="inlineStr">
        <is>
          <t>Sofia Boldrini</t>
        </is>
      </c>
      <c r="B110" s="8" t="inlineStr">
        <is>
          <t>10ª Fase</t>
        </is>
      </c>
      <c r="C110" s="8" t="n">
        <v>16</v>
      </c>
      <c r="D110" s="9">
        <f>IF(C110="","",C110/39)</f>
        <v/>
      </c>
      <c r="E110" s="8" t="n">
        <v>40</v>
      </c>
      <c r="F110" s="9">
        <f>IF(E110="","",E110/60)</f>
        <v/>
      </c>
      <c r="G110" s="18">
        <f>IF(OR(C110="",E110=""),"",(F110-D110)*100)</f>
        <v/>
      </c>
      <c r="H110" s="7" t="inlineStr">
        <is>
          <t>Nos dois simulados</t>
        </is>
      </c>
    </row>
    <row r="111">
      <c r="A111" s="10" t="inlineStr">
        <is>
          <t>Sofia Venturi</t>
        </is>
      </c>
      <c r="B111" s="11" t="inlineStr">
        <is>
          <t>7ª Fase</t>
        </is>
      </c>
      <c r="C111" s="11" t="n">
        <v>25</v>
      </c>
      <c r="D111" s="12">
        <f>IF(C111="","",C111/39)</f>
        <v/>
      </c>
      <c r="E111" s="11" t="n">
        <v>30</v>
      </c>
      <c r="F111" s="12">
        <f>IF(E111="","",E111/60)</f>
        <v/>
      </c>
      <c r="G111" s="19">
        <f>IF(OR(C111="",E111=""),"",(F111-D111)*100)</f>
        <v/>
      </c>
      <c r="H111" s="10" t="inlineStr">
        <is>
          <t>Nos dois simulados</t>
        </is>
      </c>
    </row>
    <row r="112">
      <c r="A112" s="7" t="inlineStr">
        <is>
          <t>Suelen Dias Clasen</t>
        </is>
      </c>
      <c r="B112" s="8" t="inlineStr">
        <is>
          <t>7ª Fase</t>
        </is>
      </c>
      <c r="C112" s="8" t="n">
        <v>29</v>
      </c>
      <c r="D112" s="9">
        <f>IF(C112="","",C112/39)</f>
        <v/>
      </c>
      <c r="E112" s="8" t="n">
        <v>41</v>
      </c>
      <c r="F112" s="9">
        <f>IF(E112="","",E112/60)</f>
        <v/>
      </c>
      <c r="G112" s="18">
        <f>IF(OR(C112="",E112=""),"",(F112-D112)*100)</f>
        <v/>
      </c>
      <c r="H112" s="7" t="inlineStr">
        <is>
          <t>Nos dois simulados</t>
        </is>
      </c>
    </row>
    <row r="113">
      <c r="A113" s="10" t="inlineStr">
        <is>
          <t>Taina Farias</t>
        </is>
      </c>
      <c r="B113" s="11" t="inlineStr">
        <is>
          <t>11ª Fase</t>
        </is>
      </c>
      <c r="C113" s="11" t="n">
        <v>24</v>
      </c>
      <c r="D113" s="12">
        <f>IF(C113="","",C113/39)</f>
        <v/>
      </c>
      <c r="E113" s="11" t="n">
        <v>32</v>
      </c>
      <c r="F113" s="12">
        <f>IF(E113="","",E113/60)</f>
        <v/>
      </c>
      <c r="G113" s="19">
        <f>IF(OR(C113="",E113=""),"",(F113-D113)*100)</f>
        <v/>
      </c>
      <c r="H113" s="10" t="inlineStr">
        <is>
          <t>Nos dois simulados</t>
        </is>
      </c>
    </row>
    <row r="114">
      <c r="A114" s="7" t="inlineStr">
        <is>
          <t>Tassiane Thaisi Thiesen</t>
        </is>
      </c>
      <c r="B114" s="8" t="inlineStr">
        <is>
          <t>10ª Fase</t>
        </is>
      </c>
      <c r="C114" s="8" t="n">
        <v>20</v>
      </c>
      <c r="D114" s="9">
        <f>IF(C114="","",C114/39)</f>
        <v/>
      </c>
      <c r="E114" s="8" t="n">
        <v>44</v>
      </c>
      <c r="F114" s="9">
        <f>IF(E114="","",E114/60)</f>
        <v/>
      </c>
      <c r="G114" s="18">
        <f>IF(OR(C114="",E114=""),"",(F114-D114)*100)</f>
        <v/>
      </c>
      <c r="H114" s="7" t="inlineStr">
        <is>
          <t>Nos dois simulados</t>
        </is>
      </c>
    </row>
    <row r="115">
      <c r="A115" s="10" t="inlineStr">
        <is>
          <t>Taís Cristina Paludo</t>
        </is>
      </c>
      <c r="B115" s="11" t="inlineStr">
        <is>
          <t>11ª Fase</t>
        </is>
      </c>
      <c r="C115" s="11" t="n">
        <v>27</v>
      </c>
      <c r="D115" s="12">
        <f>IF(C115="","",C115/39)</f>
        <v/>
      </c>
      <c r="E115" s="11" t="n">
        <v>44</v>
      </c>
      <c r="F115" s="12">
        <f>IF(E115="","",E115/60)</f>
        <v/>
      </c>
      <c r="G115" s="19">
        <f>IF(OR(C115="",E115=""),"",(F115-D115)*100)</f>
        <v/>
      </c>
      <c r="H115" s="10" t="inlineStr">
        <is>
          <t>Nos dois simulados</t>
        </is>
      </c>
    </row>
    <row r="116">
      <c r="A116" s="7" t="inlineStr">
        <is>
          <t>Tharik Stache Ribeiro</t>
        </is>
      </c>
      <c r="B116" s="8" t="inlineStr">
        <is>
          <t>6ª Fase</t>
        </is>
      </c>
      <c r="C116" s="8" t="n">
        <v>24</v>
      </c>
      <c r="D116" s="9">
        <f>IF(C116="","",C116/39)</f>
        <v/>
      </c>
      <c r="E116" s="8" t="n">
        <v>37</v>
      </c>
      <c r="F116" s="9">
        <f>IF(E116="","",E116/60)</f>
        <v/>
      </c>
      <c r="G116" s="18">
        <f>IF(OR(C116="",E116=""),"",(F116-D116)*100)</f>
        <v/>
      </c>
      <c r="H116" s="7" t="inlineStr">
        <is>
          <t>Nos dois simulados</t>
        </is>
      </c>
    </row>
    <row r="117">
      <c r="A117" s="10" t="inlineStr">
        <is>
          <t>Thiago Matheussi Alves</t>
        </is>
      </c>
      <c r="B117" s="11" t="inlineStr">
        <is>
          <t>6ª Fase</t>
        </is>
      </c>
      <c r="C117" s="11" t="n">
        <v>23</v>
      </c>
      <c r="D117" s="12">
        <f>IF(C117="","",C117/39)</f>
        <v/>
      </c>
      <c r="E117" s="11" t="n">
        <v>30</v>
      </c>
      <c r="F117" s="12">
        <f>IF(E117="","",E117/60)</f>
        <v/>
      </c>
      <c r="G117" s="19">
        <f>IF(OR(C117="",E117=""),"",(F117-D117)*100)</f>
        <v/>
      </c>
      <c r="H117" s="10" t="inlineStr">
        <is>
          <t>Nos dois simulados</t>
        </is>
      </c>
    </row>
    <row r="118">
      <c r="A118" s="7" t="inlineStr">
        <is>
          <t>Thiago Robert Brito de Lima</t>
        </is>
      </c>
      <c r="B118" s="8" t="inlineStr">
        <is>
          <t>6ª Fase</t>
        </is>
      </c>
      <c r="C118" s="8" t="n">
        <v>25</v>
      </c>
      <c r="D118" s="9">
        <f>IF(C118="","",C118/39)</f>
        <v/>
      </c>
      <c r="E118" s="8" t="n">
        <v>37</v>
      </c>
      <c r="F118" s="9">
        <f>IF(E118="","",E118/60)</f>
        <v/>
      </c>
      <c r="G118" s="18">
        <f>IF(OR(C118="",E118=""),"",(F118-D118)*100)</f>
        <v/>
      </c>
      <c r="H118" s="7" t="inlineStr">
        <is>
          <t>Nos dois simulados</t>
        </is>
      </c>
    </row>
    <row r="119">
      <c r="A119" s="10" t="inlineStr">
        <is>
          <t>Victor Hugo Tonet</t>
        </is>
      </c>
      <c r="B119" s="11" t="inlineStr">
        <is>
          <t>6ª Fase</t>
        </is>
      </c>
      <c r="C119" s="11" t="n">
        <v>26</v>
      </c>
      <c r="D119" s="12">
        <f>IF(C119="","",C119/39)</f>
        <v/>
      </c>
      <c r="E119" s="11" t="n">
        <v>34</v>
      </c>
      <c r="F119" s="12">
        <f>IF(E119="","",E119/60)</f>
        <v/>
      </c>
      <c r="G119" s="19">
        <f>IF(OR(C119="",E119=""),"",(F119-D119)*100)</f>
        <v/>
      </c>
      <c r="H119" s="10" t="inlineStr">
        <is>
          <t>Nos dois simulados</t>
        </is>
      </c>
    </row>
    <row r="120">
      <c r="A120" s="7" t="inlineStr">
        <is>
          <t>Victória Gabriela Wetzstein</t>
        </is>
      </c>
      <c r="B120" s="8" t="inlineStr">
        <is>
          <t>7ª Fase</t>
        </is>
      </c>
      <c r="C120" s="8" t="n">
        <v>22</v>
      </c>
      <c r="D120" s="9">
        <f>IF(C120="","",C120/39)</f>
        <v/>
      </c>
      <c r="E120" s="8" t="n">
        <v>37</v>
      </c>
      <c r="F120" s="9">
        <f>IF(E120="","",E120/60)</f>
        <v/>
      </c>
      <c r="G120" s="18">
        <f>IF(OR(C120="",E120=""),"",(F120-D120)*100)</f>
        <v/>
      </c>
      <c r="H120" s="7" t="inlineStr">
        <is>
          <t>Nos dois simulados</t>
        </is>
      </c>
    </row>
    <row r="121">
      <c r="A121" s="10" t="inlineStr">
        <is>
          <t>Yasmin Minatti</t>
        </is>
      </c>
      <c r="B121" s="11" t="inlineStr">
        <is>
          <t>11ª Fase</t>
        </is>
      </c>
      <c r="C121" s="11" t="n">
        <v>26</v>
      </c>
      <c r="D121" s="12">
        <f>IF(C121="","",C121/39)</f>
        <v/>
      </c>
      <c r="E121" s="11" t="n">
        <v>36</v>
      </c>
      <c r="F121" s="12">
        <f>IF(E121="","",E121/60)</f>
        <v/>
      </c>
      <c r="G121" s="19">
        <f>IF(OR(C121="",E121=""),"",(F121-D121)*100)</f>
        <v/>
      </c>
      <c r="H121" s="10" t="inlineStr">
        <is>
          <t>Nos dois simulados</t>
        </is>
      </c>
    </row>
    <row r="122">
      <c r="A122" s="7" t="inlineStr">
        <is>
          <t>Yasmin Paes Turnes</t>
        </is>
      </c>
      <c r="B122" s="8" t="inlineStr">
        <is>
          <t>11ª Fase</t>
        </is>
      </c>
      <c r="C122" s="8" t="n">
        <v>21</v>
      </c>
      <c r="D122" s="9">
        <f>IF(C122="","",C122/39)</f>
        <v/>
      </c>
      <c r="E122" s="8" t="n">
        <v>41</v>
      </c>
      <c r="F122" s="9">
        <f>IF(E122="","",E122/60)</f>
        <v/>
      </c>
      <c r="G122" s="18">
        <f>IF(OR(C122="",E122=""),"",(F122-D122)*100)</f>
        <v/>
      </c>
      <c r="H122" s="7" t="inlineStr">
        <is>
          <t>Nos dois simulados</t>
        </is>
      </c>
    </row>
    <row r="123">
      <c r="A123" s="10" t="inlineStr">
        <is>
          <t>Yasmin Primel Paludo</t>
        </is>
      </c>
      <c r="B123" s="11" t="inlineStr">
        <is>
          <t>10ª Fase</t>
        </is>
      </c>
      <c r="C123" s="11" t="n">
        <v>26</v>
      </c>
      <c r="D123" s="12">
        <f>IF(C123="","",C123/39)</f>
        <v/>
      </c>
      <c r="E123" s="11" t="n">
        <v>40</v>
      </c>
      <c r="F123" s="12">
        <f>IF(E123="","",E123/60)</f>
        <v/>
      </c>
      <c r="G123" s="19">
        <f>IF(OR(C123="",E123=""),"",(F123-D123)*100)</f>
        <v/>
      </c>
      <c r="H123" s="10" t="inlineStr">
        <is>
          <t>Nos dois simulados</t>
        </is>
      </c>
    </row>
    <row r="124">
      <c r="A124" s="7" t="inlineStr">
        <is>
          <t>Yasmin Rafaela Braun</t>
        </is>
      </c>
      <c r="B124" s="8" t="inlineStr">
        <is>
          <t>11ª Fase</t>
        </is>
      </c>
      <c r="C124" s="8" t="n"/>
      <c r="D124" s="9">
        <f>IF(C124="","",C124/39)</f>
        <v/>
      </c>
      <c r="E124" s="8" t="n">
        <v>34</v>
      </c>
      <c r="F124" s="9">
        <f>IF(E124="","",E124/60)</f>
        <v/>
      </c>
      <c r="G124" s="18">
        <f>IF(OR(C124="",E124=""),"",(F124-D124)*100)</f>
        <v/>
      </c>
      <c r="H124" s="7" t="inlineStr">
        <is>
          <t>Só no Simulado 02</t>
        </is>
      </c>
    </row>
    <row r="125">
      <c r="A125" s="10" t="inlineStr">
        <is>
          <t>Élton Léo Junglos</t>
        </is>
      </c>
      <c r="B125" s="11" t="inlineStr">
        <is>
          <t>7ª Fase</t>
        </is>
      </c>
      <c r="C125" s="11" t="n">
        <v>17</v>
      </c>
      <c r="D125" s="12">
        <f>IF(C125="","",C125/39)</f>
        <v/>
      </c>
      <c r="E125" s="11" t="n">
        <v>19</v>
      </c>
      <c r="F125" s="12">
        <f>IF(E125="","",E125/60)</f>
        <v/>
      </c>
      <c r="G125" s="19">
        <f>IF(OR(C125="",E125=""),"",(F125-D125)*100)</f>
        <v/>
      </c>
      <c r="H125" s="10" t="inlineStr">
        <is>
          <t>Nos dois simulados</t>
        </is>
      </c>
    </row>
    <row r="126">
      <c r="A126" s="7" t="inlineStr">
        <is>
          <t>Émerson Roberto Bratz</t>
        </is>
      </c>
      <c r="B126" s="8" t="inlineStr">
        <is>
          <t>10ª Fase</t>
        </is>
      </c>
      <c r="C126" s="8" t="n">
        <v>25</v>
      </c>
      <c r="D126" s="9">
        <f>IF(C126="","",C126/39)</f>
        <v/>
      </c>
      <c r="E126" s="8" t="n">
        <v>45</v>
      </c>
      <c r="F126" s="9">
        <f>IF(E126="","",E126/60)</f>
        <v/>
      </c>
      <c r="G126" s="18">
        <f>IF(OR(C126="",E126=""),"",(F126-D126)*100)</f>
        <v/>
      </c>
      <c r="H126" s="7" t="inlineStr">
        <is>
          <t>Nos dois simulados</t>
        </is>
      </c>
    </row>
    <row r="127">
      <c r="A127" s="10" t="inlineStr">
        <is>
          <t>Íris Lyra Martendal</t>
        </is>
      </c>
      <c r="B127" s="11" t="inlineStr">
        <is>
          <t>7ª Fase</t>
        </is>
      </c>
      <c r="C127" s="11" t="n">
        <v>16</v>
      </c>
      <c r="D127" s="12">
        <f>IF(C127="","",C127/39)</f>
        <v/>
      </c>
      <c r="E127" s="11" t="n">
        <v>29</v>
      </c>
      <c r="F127" s="12">
        <f>IF(E127="","",E127/60)</f>
        <v/>
      </c>
      <c r="G127" s="19">
        <f>IF(OR(C127="",E127=""),"",(F127-D127)*100)</f>
        <v/>
      </c>
      <c r="H127" s="10" t="inlineStr">
        <is>
          <t>Nos dois simulados</t>
        </is>
      </c>
    </row>
  </sheetData>
  <autoFilter ref="A1:H1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2026-07-31T10:33:52Z</dcterms:created>
  <dcterms:modified xsi:type="dcterms:W3CDTF">2026-07-31T10:33:53Z</dcterms:modified>
</cp:coreProperties>
</file>